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ari\Desktop\Degree in Economics and Finance\Tesi\data\"/>
    </mc:Choice>
  </mc:AlternateContent>
  <xr:revisionPtr revIDLastSave="0" documentId="13_ncr:1_{B6D70812-B6DF-4EFA-A9BB-DC493BADEC9B}" xr6:coauthVersionLast="47" xr6:coauthVersionMax="47" xr10:uidLastSave="{00000000-0000-0000-0000-000000000000}"/>
  <bookViews>
    <workbookView xWindow="-108" yWindow="-108" windowWidth="23256" windowHeight="12456" firstSheet="2" activeTab="3" xr2:uid="{00000000-000D-0000-FFFF-FFFF00000000}"/>
  </bookViews>
  <sheets>
    <sheet name="Search summary" sheetId="1" r:id="rId1"/>
    <sheet name="Results" sheetId="2" r:id="rId2"/>
    <sheet name="Panel Data - FS" sheetId="3" r:id="rId3"/>
    <sheet name="Fintech Services - Fintech Firm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W53" i="4" l="1"/>
  <c r="V53" i="4"/>
  <c r="U53" i="4"/>
  <c r="T53" i="4"/>
  <c r="S53" i="4"/>
  <c r="R53" i="4"/>
  <c r="Q53" i="4"/>
  <c r="W52" i="4"/>
  <c r="V52" i="4"/>
  <c r="U52" i="4"/>
  <c r="T52" i="4"/>
  <c r="S52" i="4"/>
  <c r="R52" i="4"/>
  <c r="Q52" i="4"/>
  <c r="W51" i="4"/>
  <c r="V51" i="4"/>
  <c r="U51" i="4"/>
  <c r="T51" i="4"/>
  <c r="S51" i="4"/>
  <c r="R51" i="4"/>
  <c r="Q51" i="4"/>
  <c r="W50" i="4"/>
  <c r="V50" i="4"/>
  <c r="U50" i="4"/>
  <c r="T50" i="4"/>
  <c r="S50" i="4"/>
  <c r="R50" i="4"/>
  <c r="Q50" i="4"/>
  <c r="W48" i="4"/>
  <c r="V48" i="4"/>
  <c r="U48" i="4"/>
  <c r="T48" i="4"/>
  <c r="S48" i="4"/>
  <c r="R48" i="4"/>
  <c r="Q48" i="4"/>
  <c r="W47" i="4"/>
  <c r="V47" i="4"/>
  <c r="U47" i="4"/>
  <c r="T47" i="4"/>
  <c r="S47" i="4"/>
  <c r="R47" i="4"/>
  <c r="Q47" i="4"/>
  <c r="W46" i="4"/>
  <c r="V46" i="4"/>
  <c r="U46" i="4"/>
  <c r="T46" i="4"/>
  <c r="S46" i="4"/>
  <c r="R46" i="4"/>
  <c r="Q46" i="4"/>
  <c r="W45" i="4"/>
  <c r="V45" i="4"/>
  <c r="U45" i="4"/>
  <c r="T45" i="4"/>
  <c r="S45" i="4"/>
  <c r="R45" i="4"/>
  <c r="W43" i="4"/>
  <c r="V43" i="4"/>
  <c r="U43" i="4"/>
  <c r="T43" i="4"/>
  <c r="S43" i="4"/>
  <c r="R43" i="4"/>
  <c r="Q43" i="4"/>
  <c r="W42" i="4"/>
  <c r="V42" i="4"/>
  <c r="U42" i="4"/>
  <c r="T42" i="4"/>
  <c r="S42" i="4"/>
  <c r="R42" i="4"/>
  <c r="Q42" i="4"/>
  <c r="T41" i="4"/>
  <c r="S41" i="4"/>
  <c r="R41" i="4"/>
  <c r="Q41" i="4"/>
  <c r="W40" i="4"/>
  <c r="V40" i="4"/>
  <c r="U40" i="4"/>
  <c r="T40" i="4"/>
  <c r="S40" i="4"/>
  <c r="R40" i="4"/>
  <c r="Q40" i="4"/>
  <c r="W39" i="4"/>
  <c r="V39" i="4"/>
  <c r="U39" i="4"/>
  <c r="T39" i="4"/>
  <c r="S39" i="4"/>
  <c r="R39" i="4"/>
  <c r="Q39" i="4"/>
  <c r="J103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P2" i="4"/>
  <c r="O4" i="4"/>
  <c r="P3" i="4" s="1"/>
  <c r="J140" i="4"/>
  <c r="J2" i="4"/>
  <c r="T29" i="2" a="1"/>
  <c r="T29" i="2" s="1"/>
  <c r="AB29" i="2" s="1" a="1"/>
  <c r="AB29" i="2" s="1"/>
  <c r="L29" i="2" a="1"/>
  <c r="L29" i="2" s="1"/>
  <c r="D29" i="2" a="1"/>
  <c r="D29" i="2" s="1"/>
  <c r="P4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omari</author>
  </authors>
  <commentList>
    <comment ref="M72" authorId="0" shapeId="0" xr:uid="{2A509C3A-F5C0-4853-B4C4-AB8F5741690D}">
      <text>
        <r>
          <rPr>
            <b/>
            <sz val="9"/>
            <color indexed="81"/>
            <rFont val="Tahoma"/>
            <family val="2"/>
          </rPr>
          <t>omari:</t>
        </r>
        <r>
          <rPr>
            <sz val="9"/>
            <color indexed="81"/>
            <rFont val="Tahoma"/>
            <family val="2"/>
          </rPr>
          <t xml:space="preserve">
https://ec.europa.eu/info/business-economy-euro/economic-performance-and-forecasts/economic-performance-country/italy/economic-forecast-italy_en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omari</author>
  </authors>
  <commentList>
    <comment ref="I1" authorId="0" shapeId="0" xr:uid="{0555A2AF-85EA-41B5-9931-135DFBA50B3C}">
      <text>
        <r>
          <rPr>
            <b/>
            <sz val="9"/>
            <color indexed="81"/>
            <rFont val="Tahoma"/>
            <family val="2"/>
          </rPr>
          <t>omari:</t>
        </r>
        <r>
          <rPr>
            <sz val="9"/>
            <color indexed="81"/>
            <rFont val="Tahoma"/>
            <family val="2"/>
          </rPr>
          <t xml:space="preserve">
big data analytics, cyber securities, cloud support, etc.</t>
        </r>
      </text>
    </comment>
    <comment ref="A20" authorId="0" shapeId="0" xr:uid="{C958FD30-3BFC-459F-AD0A-5E89E7C53FE0}">
      <text>
        <r>
          <rPr>
            <b/>
            <sz val="9"/>
            <color indexed="81"/>
            <rFont val="Tahoma"/>
            <family val="2"/>
          </rPr>
          <t>omari:</t>
        </r>
        <r>
          <rPr>
            <sz val="9"/>
            <color indexed="81"/>
            <rFont val="Tahoma"/>
            <family val="2"/>
          </rPr>
          <t xml:space="preserve">
quotata ed effettivamente operativa dal 2017</t>
        </r>
      </text>
    </comment>
    <comment ref="A22" authorId="0" shapeId="0" xr:uid="{BCF20F96-C5BD-4178-B227-D6F02099D813}">
      <text>
        <r>
          <rPr>
            <b/>
            <sz val="9"/>
            <color indexed="81"/>
            <rFont val="Tahoma"/>
            <family val="2"/>
          </rPr>
          <t>omari:</t>
        </r>
        <r>
          <rPr>
            <sz val="9"/>
            <color indexed="81"/>
            <rFont val="Tahoma"/>
            <family val="2"/>
          </rPr>
          <t xml:space="preserve">
inesistente</t>
        </r>
      </text>
    </comment>
    <comment ref="A37" authorId="0" shapeId="0" xr:uid="{45138E81-935F-4C87-A6B7-A187D25EABC7}">
      <text>
        <r>
          <rPr>
            <b/>
            <sz val="9"/>
            <color indexed="81"/>
            <rFont val="Tahoma"/>
            <family val="2"/>
          </rPr>
          <t>omari:</t>
        </r>
        <r>
          <rPr>
            <sz val="9"/>
            <color indexed="81"/>
            <rFont val="Tahoma"/>
            <family val="2"/>
          </rPr>
          <t xml:space="preserve">
difficoltà nel raccogliere informazioni sui servizi fintech forniti</t>
        </r>
      </text>
    </comment>
    <comment ref="A44" authorId="0" shapeId="0" xr:uid="{DD2ADE6A-75FB-4928-8A1C-95B003497BF0}">
      <text>
        <r>
          <rPr>
            <b/>
            <sz val="9"/>
            <color indexed="81"/>
            <rFont val="Tahoma"/>
            <family val="2"/>
          </rPr>
          <t>omari:</t>
        </r>
        <r>
          <rPr>
            <sz val="9"/>
            <color indexed="81"/>
            <rFont val="Tahoma"/>
            <family val="2"/>
          </rPr>
          <t xml:space="preserve">
parte del gruppo BNP</t>
        </r>
      </text>
    </comment>
    <comment ref="A82" authorId="0" shapeId="0" xr:uid="{839A99BE-FD3D-41C9-9745-7DE32ACA6C6B}">
      <text>
        <r>
          <rPr>
            <b/>
            <sz val="9"/>
            <color indexed="81"/>
            <rFont val="Tahoma"/>
            <family val="2"/>
          </rPr>
          <t>omari:</t>
        </r>
        <r>
          <rPr>
            <sz val="9"/>
            <color indexed="81"/>
            <rFont val="Tahoma"/>
            <family val="2"/>
          </rPr>
          <t xml:space="preserve">
-2018 parte del gruppo Unicredit</t>
        </r>
      </text>
    </comment>
    <comment ref="A107" authorId="0" shapeId="0" xr:uid="{7BB4B5FF-387A-4C77-985E-7ACB5F061052}">
      <text>
        <r>
          <rPr>
            <b/>
            <sz val="9"/>
            <color indexed="81"/>
            <rFont val="Tahoma"/>
            <family val="2"/>
          </rPr>
          <t>omari:</t>
        </r>
        <r>
          <rPr>
            <sz val="9"/>
            <color indexed="81"/>
            <rFont val="Tahoma"/>
            <family val="2"/>
          </rPr>
          <t xml:space="preserve">
parte del gruppo BPER
51% dal 2001, ma al 100% dal 2019</t>
        </r>
      </text>
    </comment>
    <comment ref="A114" authorId="0" shapeId="0" xr:uid="{12606891-7AF5-4AA6-AB64-4F28DA8DEFCC}">
      <text>
        <r>
          <rPr>
            <b/>
            <sz val="9"/>
            <color indexed="81"/>
            <rFont val="Tahoma"/>
            <family val="2"/>
          </rPr>
          <t>omari:</t>
        </r>
        <r>
          <rPr>
            <sz val="9"/>
            <color indexed="81"/>
            <rFont val="Tahoma"/>
            <family val="2"/>
          </rPr>
          <t xml:space="preserve">
banca attiva principalmente nei servizi e soluzioni di credito alle imprese e acquisizione/gestione di portafogli di crediti deteriorati</t>
        </r>
      </text>
    </comment>
    <comment ref="A121" authorId="0" shapeId="0" xr:uid="{821EB1CF-CB17-44C4-AC35-A8071BE92A85}">
      <text>
        <r>
          <rPr>
            <b/>
            <sz val="9"/>
            <color indexed="81"/>
            <rFont val="Tahoma"/>
            <family val="2"/>
          </rPr>
          <t>omari:</t>
        </r>
        <r>
          <rPr>
            <sz val="9"/>
            <color indexed="81"/>
            <rFont val="Tahoma"/>
            <family val="2"/>
          </rPr>
          <t xml:space="preserve">
digital bank
</t>
        </r>
      </text>
    </comment>
    <comment ref="A135" authorId="0" shapeId="0" xr:uid="{5339D2A1-D0DC-497F-B54C-15B37982CCCA}">
      <text>
        <r>
          <rPr>
            <b/>
            <sz val="9"/>
            <color indexed="81"/>
            <rFont val="Tahoma"/>
            <family val="2"/>
          </rPr>
          <t>omari:</t>
        </r>
        <r>
          <rPr>
            <sz val="9"/>
            <color indexed="81"/>
            <rFont val="Tahoma"/>
            <family val="2"/>
          </rPr>
          <t xml:space="preserve">
private bank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<sst xmlns="http://schemas.openxmlformats.org/spreadsheetml/2006/main" count="632" uniqueCount="223">
  <si>
    <t>List export</t>
  </si>
  <si>
    <t>Product name</t>
  </si>
  <si>
    <t>BankFocus</t>
  </si>
  <si>
    <t>Update number</t>
  </si>
  <si>
    <t>220058</t>
  </si>
  <si>
    <t>Software version</t>
  </si>
  <si>
    <t>220</t>
  </si>
  <si>
    <t>Data update</t>
  </si>
  <si>
    <t>08/03/2022 (n° 220058)</t>
  </si>
  <si>
    <t>Username</t>
  </si>
  <si>
    <t>omar.ibrahimvargas</t>
  </si>
  <si>
    <t>Export date</t>
  </si>
  <si>
    <t>09/03/2022 11:37:06 AM</t>
  </si>
  <si>
    <t>Search Strategy</t>
  </si>
  <si>
    <t>Search Step</t>
  </si>
  <si>
    <t>Step result</t>
  </si>
  <si>
    <t>Search result</t>
  </si>
  <si>
    <t>1. Status</t>
  </si>
  <si>
    <t>Active companies</t>
  </si>
  <si>
    <t>149,875</t>
  </si>
  <si>
    <t>2. World region/Country/Region in country</t>
  </si>
  <si>
    <t>Italy</t>
  </si>
  <si>
    <t>1,591</t>
  </si>
  <si>
    <t>710</t>
  </si>
  <si>
    <t>3. Specialisation</t>
  </si>
  <si>
    <t>Commercial bank, Cooperative bank</t>
  </si>
  <si>
    <t>125,574</t>
  </si>
  <si>
    <t>421</t>
  </si>
  <si>
    <t>4. Listed/Unlisted companies</t>
  </si>
  <si>
    <t>Publicly listed companies, Formerly publicly listed companies</t>
  </si>
  <si>
    <t>10,716</t>
  </si>
  <si>
    <t>52</t>
  </si>
  <si>
    <t>5. Consolidation code</t>
  </si>
  <si>
    <t>C1 (consolidated accounts with no unconsolidated companion), C2 (consolidated accounts with an unconsolidated companion), U1 (unconsolidated accounts with no consolidated companion)</t>
  </si>
  <si>
    <t>61,682</t>
  </si>
  <si>
    <t>21</t>
  </si>
  <si>
    <t>Boolean search</t>
  </si>
  <si>
    <t>1 and 2 and 3 and 4 and 5</t>
  </si>
  <si>
    <t>TOTAL</t>
  </si>
  <si>
    <t>Search options</t>
  </si>
  <si>
    <t>Financial searches</t>
  </si>
  <si>
    <t>Exclude companies with no recent financial data</t>
  </si>
  <si>
    <t>Exclude public authorities/states/governments</t>
  </si>
  <si>
    <t>Sets of accounts</t>
  </si>
  <si>
    <t>All accounts available</t>
  </si>
  <si>
    <t>Information options</t>
  </si>
  <si>
    <t>Fiscal year end</t>
  </si>
  <si>
    <t>31/03</t>
  </si>
  <si>
    <t>Information Source exclusion</t>
  </si>
  <si>
    <t>FS</t>
  </si>
  <si>
    <t>Definition of the Ultimate Owner</t>
  </si>
  <si>
    <t>The minimum percentage of control in the path from a subject company to its Ultimate Owner must be: 50.01%</t>
  </si>
  <si>
    <t>A company is considered to be an Ultimate Owner(UO) if it has no identified shareholders or if it's shareholder's percentages are not known.</t>
  </si>
  <si>
    <t>Definition of the Beneficial Owner</t>
  </si>
  <si>
    <t>Path of minimum 10.00% at first level, minimum 50.01% at further levels, include top level individuals with unknown percentage or with minimum 10.00% (50.01% at each level)</t>
  </si>
  <si>
    <t>Entity name Latin alphabet</t>
  </si>
  <si>
    <t>Consolidation code</t>
  </si>
  <si>
    <t>Last avail. year</t>
  </si>
  <si>
    <t>Return on average assets (ROAA) (%)
2020</t>
  </si>
  <si>
    <t>Return on average assets (ROAA) (%)
2019</t>
  </si>
  <si>
    <t>Return on average assets (ROAA) (%)
2018</t>
  </si>
  <si>
    <t>Return on average assets (ROAA) (%)
2017</t>
  </si>
  <si>
    <t>Return on average assets (ROAA) (%)
2016</t>
  </si>
  <si>
    <t>Return on average assets (ROAA) (%)
2015</t>
  </si>
  <si>
    <t>Return on average assets (ROAA) (%)
2014</t>
  </si>
  <si>
    <t>Return on average equity (ROAE) (%)
2020</t>
  </si>
  <si>
    <t>Return on average equity (ROAE) (%)
2019</t>
  </si>
  <si>
    <t>Return on average equity (ROAE) (%)
2018</t>
  </si>
  <si>
    <t>Return on average equity (ROAE) (%)
2017</t>
  </si>
  <si>
    <t>Return on average equity (ROAE) (%)
2016</t>
  </si>
  <si>
    <t>Return on average equity (ROAE) (%)
2015</t>
  </si>
  <si>
    <t>Return on average equity (ROAE) (%)
2014</t>
  </si>
  <si>
    <t>Total assets
EUR 2020</t>
  </si>
  <si>
    <t>Total assets
EUR 2019</t>
  </si>
  <si>
    <t>Total assets
EUR 2018</t>
  </si>
  <si>
    <t>Total assets
EUR 2017</t>
  </si>
  <si>
    <t>Total assets
EUR 2016</t>
  </si>
  <si>
    <t>Total assets
EUR 2015</t>
  </si>
  <si>
    <t>Total assets
EUR 2014</t>
  </si>
  <si>
    <t>Loan Loss Provisions
EUR 2020</t>
  </si>
  <si>
    <t>Loan Loss Provisions
EUR 2019</t>
  </si>
  <si>
    <t>Loan Loss Provisions
EUR 2018</t>
  </si>
  <si>
    <t>Loan Loss Provisions
EUR 2017</t>
  </si>
  <si>
    <t>Loan Loss Provisions
EUR 2016</t>
  </si>
  <si>
    <t>Loan Loss Provisions
EUR 2015</t>
  </si>
  <si>
    <t>Loan Loss Provisions
EUR 2014</t>
  </si>
  <si>
    <t>Loans
EUR 2020</t>
  </si>
  <si>
    <t>Loans
EUR 2019</t>
  </si>
  <si>
    <t>Loans
EUR 2018</t>
  </si>
  <si>
    <t>Loans
EUR 2017</t>
  </si>
  <si>
    <t>Loans
EUR 2016</t>
  </si>
  <si>
    <t>Loans
EUR 2015</t>
  </si>
  <si>
    <t>Loans
EUR 2014</t>
  </si>
  <si>
    <t>Equity / Total assets (%)
2020</t>
  </si>
  <si>
    <t>Equity / Total assets (%)
2019</t>
  </si>
  <si>
    <t>Equity / Total assets (%)
2018</t>
  </si>
  <si>
    <t>Equity / Total assets (%)
2017</t>
  </si>
  <si>
    <t>Equity / Total assets (%)
2016</t>
  </si>
  <si>
    <t>Equity / Total assets (%)
2015</t>
  </si>
  <si>
    <t>Equity / Total assets (%)
2014</t>
  </si>
  <si>
    <t>Non-interest income / Operating revenues (%)
2020</t>
  </si>
  <si>
    <t>Non-interest income / Operating revenues (%)
2019</t>
  </si>
  <si>
    <t>Non-interest income / Operating revenues (%)
2018</t>
  </si>
  <si>
    <t>Non-interest income / Operating revenues (%)
2017</t>
  </si>
  <si>
    <t>Non-interest income / Operating revenues (%)
2016</t>
  </si>
  <si>
    <t>Non-interest income / Operating revenues (%)
2015</t>
  </si>
  <si>
    <t>Non-interest income / Operating revenues (%)
2014</t>
  </si>
  <si>
    <t>Operating revenues
EUR 2020</t>
  </si>
  <si>
    <t>Operating revenues
EUR 2019</t>
  </si>
  <si>
    <t>Operating revenues
EUR 2018</t>
  </si>
  <si>
    <t>Operating revenues
EUR 2017</t>
  </si>
  <si>
    <t>Operating revenues
EUR 2016</t>
  </si>
  <si>
    <t>Operating revenues
EUR 2015</t>
  </si>
  <si>
    <t>Operating revenues
EUR 2014</t>
  </si>
  <si>
    <t>Net income
EUR 2020</t>
  </si>
  <si>
    <t>Net income
EUR 2019</t>
  </si>
  <si>
    <t>Net income
EUR 2018</t>
  </si>
  <si>
    <t>Net income
EUR 2017</t>
  </si>
  <si>
    <t>Net income
EUR 2016</t>
  </si>
  <si>
    <t>Net income
EUR 2015</t>
  </si>
  <si>
    <t>Net income
EUR 2014</t>
  </si>
  <si>
    <t>1.</t>
  </si>
  <si>
    <t>INTESA SANPAOLO</t>
  </si>
  <si>
    <t>C2</t>
  </si>
  <si>
    <t>2021</t>
  </si>
  <si>
    <t>2.</t>
  </si>
  <si>
    <t>UNICREDIT SPA</t>
  </si>
  <si>
    <t>3.</t>
  </si>
  <si>
    <t>BANCO BPM SPA</t>
  </si>
  <si>
    <t>n.a.</t>
  </si>
  <si>
    <t>4.</t>
  </si>
  <si>
    <t>BANCA MONTE DEI PASCHI DI SIENA SPA</t>
  </si>
  <si>
    <t>5.</t>
  </si>
  <si>
    <t>BPER BANCA S.P.A.</t>
  </si>
  <si>
    <t>6.</t>
  </si>
  <si>
    <t>MEDIOBANCA - BANCA DI CREDITO FINANZIARIO SOCIETA PER AZIONI</t>
  </si>
  <si>
    <t>7.</t>
  </si>
  <si>
    <t>BANCA NAZIONALE DEL LAVORO SPA</t>
  </si>
  <si>
    <t>2018</t>
  </si>
  <si>
    <t>8.</t>
  </si>
  <si>
    <t>BANCA MEDIOLANUM SPA</t>
  </si>
  <si>
    <t>9.</t>
  </si>
  <si>
    <t>CREDITO EMILIANO SPA</t>
  </si>
  <si>
    <t>10.</t>
  </si>
  <si>
    <t>BANCA POPOLARE DI SONDRIO SOCIETA' PER AZIONI</t>
  </si>
  <si>
    <t>11.</t>
  </si>
  <si>
    <t>FINECOBANK BANCA FINECO SPA</t>
  </si>
  <si>
    <t>12.</t>
  </si>
  <si>
    <t>BANCA PICCOLO CREDITO VALTELLINESE</t>
  </si>
  <si>
    <t>2020</t>
  </si>
  <si>
    <t>13.</t>
  </si>
  <si>
    <t>BANCA CARIGE SPA</t>
  </si>
  <si>
    <t>14.</t>
  </si>
  <si>
    <t>BANCO DI DESIO E DELLA BRIANZA SPA</t>
  </si>
  <si>
    <t>15.</t>
  </si>
  <si>
    <t>BANCA GENERALI SPA</t>
  </si>
  <si>
    <t>16.</t>
  </si>
  <si>
    <t>BANCO DI SARDEGNA SPA</t>
  </si>
  <si>
    <t>2019</t>
  </si>
  <si>
    <t>17.</t>
  </si>
  <si>
    <t>BANCA IFIS SPA</t>
  </si>
  <si>
    <t>18.</t>
  </si>
  <si>
    <t>ILLIMITY BANK SPA</t>
  </si>
  <si>
    <t>19.</t>
  </si>
  <si>
    <t>BANCA SISTEMA SPA</t>
  </si>
  <si>
    <t>20.</t>
  </si>
  <si>
    <t>BANCA FINNAT EURAMERICA SPA</t>
  </si>
  <si>
    <t>21.</t>
  </si>
  <si>
    <t>MEDIOCREDITO EUROPEO SPA</t>
  </si>
  <si>
    <t>BANK</t>
  </si>
  <si>
    <t>year</t>
  </si>
  <si>
    <t>Loans to total assets</t>
  </si>
  <si>
    <t>Loan loss provision to loans</t>
  </si>
  <si>
    <t>Bank</t>
  </si>
  <si>
    <t>Year</t>
  </si>
  <si>
    <t>mobile banking</t>
  </si>
  <si>
    <t>digital lending</t>
  </si>
  <si>
    <t>insurtech</t>
  </si>
  <si>
    <t>robo-advistor</t>
  </si>
  <si>
    <t>payment</t>
  </si>
  <si>
    <t>INTESASANPAOLO</t>
  </si>
  <si>
    <t>UNICREDIT</t>
  </si>
  <si>
    <t>BPM</t>
  </si>
  <si>
    <t>MPS</t>
  </si>
  <si>
    <t>BPER</t>
  </si>
  <si>
    <t>MEDIOBANCA</t>
  </si>
  <si>
    <t>BNL</t>
  </si>
  <si>
    <t>MEDIOLANUM</t>
  </si>
  <si>
    <t>CREDITOEMILIANO</t>
  </si>
  <si>
    <t>BANCAPOPOLAREDISONDRIO</t>
  </si>
  <si>
    <t>PICCOLOCREDITOVALTELLINESE</t>
  </si>
  <si>
    <t>FINECOBANK</t>
  </si>
  <si>
    <t>BANCACARIGE</t>
  </si>
  <si>
    <t>BANCADIDESIOEDELLABRIANZA</t>
  </si>
  <si>
    <t>BANCAGENERALI</t>
  </si>
  <si>
    <t>BANCODISARDEGNA</t>
  </si>
  <si>
    <t>BANCAIFIS</t>
  </si>
  <si>
    <t>ILLIMTYBANK</t>
  </si>
  <si>
    <t>BANCASISTEMA</t>
  </si>
  <si>
    <t>FINNAT</t>
  </si>
  <si>
    <t>chat bot</t>
  </si>
  <si>
    <t>open banking</t>
  </si>
  <si>
    <t>distanza(firma el, identità d, video)</t>
  </si>
  <si>
    <t>n. fintech</t>
  </si>
  <si>
    <t>growth</t>
  </si>
  <si>
    <t>regtech</t>
  </si>
  <si>
    <t>SUM</t>
  </si>
  <si>
    <t>Non-interest income</t>
  </si>
  <si>
    <t>beta</t>
  </si>
  <si>
    <t>CREDEM</t>
  </si>
  <si>
    <t>ROA</t>
  </si>
  <si>
    <t>ROE</t>
  </si>
  <si>
    <t>SIZE</t>
  </si>
  <si>
    <t>LOAN</t>
  </si>
  <si>
    <t>LLP</t>
  </si>
  <si>
    <t>NONIN</t>
  </si>
  <si>
    <t>BS</t>
  </si>
  <si>
    <t>ID</t>
  </si>
  <si>
    <t>GDP</t>
  </si>
  <si>
    <t>INF</t>
  </si>
  <si>
    <t>Z_SCORE</t>
  </si>
  <si>
    <t>FS1</t>
  </si>
  <si>
    <t>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</si>
</sst>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</font>
    <font>
      <sz val="15"/>
      <color rgb="FFFFFFFF"/>
      <name val="Arial"/>
      <family val="2"/>
    </font>
    <font>
      <sz val="10"/>
      <color rgb="FF333333"/>
      <name val="Arial"/>
      <family val="2"/>
    </font>
    <font>
      <b/>
      <sz val="9"/>
      <color rgb="FFFFFFFF"/>
      <name val="Arial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name val="Arial"/>
      <family val="2"/>
    </font>
    <font>
      <sz val="10"/>
      <color rgb="FF333333"/>
      <name val="Arial"/>
      <family val="2"/>
    </font>
    <font>
      <sz val="10"/>
      <name val="Segoe U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001489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3">
    <xf numFmtId="0" fontId="0" fillId="0" borderId="0"/>
    <xf numFmtId="0" fontId="5" fillId="0" borderId="0" applyNumberFormat="0" applyFont="0" applyBorder="0" applyProtection="0"/>
    <xf numFmtId="0" fontId="5" fillId="0" borderId="0"/>
  </cellStyleXfs>
  <cellXfs count="39">
    <xf numFmtId="0" fontId="0" fillId="0" borderId="0" xfId="0"/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right" vertical="top" wrapText="1"/>
    </xf>
    <xf numFmtId="0" fontId="0" fillId="0" borderId="1" xfId="0" applyBorder="1"/>
    <xf numFmtId="0" fontId="0" fillId="2" borderId="0" xfId="0" applyFill="1"/>
    <xf numFmtId="0" fontId="3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4" fontId="2" fillId="0" borderId="0" xfId="0" applyNumberFormat="1" applyFont="1" applyAlignment="1">
      <alignment horizontal="right" vertical="top"/>
    </xf>
    <xf numFmtId="3" fontId="2" fillId="0" borderId="0" xfId="0" applyNumberFormat="1" applyFont="1" applyAlignment="1">
      <alignment horizontal="right" vertical="top"/>
    </xf>
    <xf numFmtId="0" fontId="0" fillId="0" borderId="0" xfId="0" applyAlignment="1">
      <alignment vertical="center"/>
    </xf>
    <xf numFmtId="0" fontId="2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 wrapText="1"/>
    </xf>
    <xf numFmtId="0" fontId="4" fillId="3" borderId="0" xfId="0" applyFont="1" applyFill="1" applyAlignment="1">
      <alignment vertical="center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left" vertical="top" wrapText="1"/>
    </xf>
    <xf numFmtId="4" fontId="8" fillId="0" borderId="0" xfId="0" applyNumberFormat="1" applyFont="1" applyAlignment="1">
      <alignment horizontal="right" vertical="center"/>
    </xf>
    <xf numFmtId="4" fontId="8" fillId="0" borderId="0" xfId="1" applyNumberFormat="1" applyFont="1" applyAlignment="1">
      <alignment horizontal="right" vertical="center"/>
    </xf>
    <xf numFmtId="0" fontId="0" fillId="4" borderId="0" xfId="0" applyFill="1"/>
    <xf numFmtId="4" fontId="8" fillId="0" borderId="0" xfId="2" applyNumberFormat="1" applyFont="1" applyAlignment="1">
      <alignment horizontal="right" vertical="center"/>
    </xf>
    <xf numFmtId="0" fontId="0" fillId="5" borderId="0" xfId="0" applyFill="1"/>
    <xf numFmtId="0" fontId="9" fillId="5" borderId="0" xfId="0" applyFont="1" applyFill="1"/>
    <xf numFmtId="0" fontId="0" fillId="6" borderId="0" xfId="0" applyFill="1"/>
    <xf numFmtId="0" fontId="8" fillId="0" borderId="0" xfId="2" applyFont="1" applyAlignment="1">
      <alignment horizontal="left" vertical="top" wrapText="1"/>
    </xf>
    <xf numFmtId="0" fontId="0" fillId="7" borderId="0" xfId="0" applyFill="1"/>
    <xf numFmtId="0" fontId="0" fillId="8" borderId="0" xfId="0" applyFill="1"/>
    <xf numFmtId="0" fontId="4" fillId="9" borderId="0" xfId="0" applyFont="1" applyFill="1"/>
    <xf numFmtId="4" fontId="0" fillId="0" borderId="0" xfId="0" applyNumberFormat="1"/>
    <xf numFmtId="0" fontId="0" fillId="4" borderId="0" xfId="0" applyFill="1" applyAlignment="1">
      <alignment vertical="center"/>
    </xf>
    <xf numFmtId="4" fontId="8" fillId="4" borderId="0" xfId="1" applyNumberFormat="1" applyFont="1" applyFill="1" applyAlignment="1">
      <alignment horizontal="right" vertical="center"/>
    </xf>
    <xf numFmtId="0" fontId="8" fillId="0" borderId="0" xfId="0" applyFont="1" applyAlignment="1">
      <alignment horizontal="right" vertical="center" wrapText="1"/>
    </xf>
    <xf numFmtId="0" fontId="1" fillId="2" borderId="0" xfId="0" applyFont="1" applyFill="1" applyAlignment="1">
      <alignment horizontal="left" vertical="top" wrapText="1"/>
    </xf>
    <xf numFmtId="0" fontId="0" fillId="0" borderId="0" xfId="0"/>
    <xf numFmtId="0" fontId="2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/>
    <xf numFmtId="0" fontId="2" fillId="0" borderId="1" xfId="0" applyFont="1" applyBorder="1" applyAlignment="1">
      <alignment horizontal="right" vertical="top" wrapText="1"/>
    </xf>
  </cellXfs>
  <cellStyles count="3">
    <cellStyle name="Normal" xfId="0" builtinId="0"/>
    <cellStyle name="Normale 2" xfId="2" xr:uid="{0B3572FF-34D4-4E40-82A4-5A8B91080E0D}"/>
    <cellStyle name="Normale 3" xfId="1" xr:uid="{0D31E36C-9763-4E50-8D16-7D332689EF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384138</xdr:colOff>
      <xdr:row>6</xdr:row>
      <xdr:rowOff>12999</xdr:rowOff>
    </xdr:from>
    <xdr:to>
      <xdr:col>24</xdr:col>
      <xdr:colOff>247389</xdr:colOff>
      <xdr:row>13</xdr:row>
      <xdr:rowOff>148041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DCD71289-2DC5-4FBC-9A7E-11EFFAED6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94467" y="1097728"/>
          <a:ext cx="4740051" cy="1390101"/>
        </a:xfrm>
        <a:prstGeom prst="rect">
          <a:avLst/>
        </a:prstGeom>
      </xdr:spPr>
    </xdr:pic>
    <xdr:clientData/>
  </xdr:twoCellAnchor>
  <xdr:twoCellAnchor editAs="oneCell">
    <xdr:from>
      <xdr:col>16</xdr:col>
      <xdr:colOff>389516</xdr:colOff>
      <xdr:row>14</xdr:row>
      <xdr:rowOff>41238</xdr:rowOff>
    </xdr:from>
    <xdr:to>
      <xdr:col>24</xdr:col>
      <xdr:colOff>473766</xdr:colOff>
      <xdr:row>15</xdr:row>
      <xdr:rowOff>33633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A2A46CE6-F58C-4AF5-A61F-4624A1BCC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799845" y="2560320"/>
          <a:ext cx="4961050" cy="171689"/>
        </a:xfrm>
        <a:prstGeom prst="rect">
          <a:avLst/>
        </a:prstGeom>
      </xdr:spPr>
    </xdr:pic>
    <xdr:clientData/>
  </xdr:twoCellAnchor>
  <xdr:twoCellAnchor editAs="oneCell">
    <xdr:from>
      <xdr:col>16</xdr:col>
      <xdr:colOff>494851</xdr:colOff>
      <xdr:row>15</xdr:row>
      <xdr:rowOff>81579</xdr:rowOff>
    </xdr:from>
    <xdr:to>
      <xdr:col>23</xdr:col>
      <xdr:colOff>579048</xdr:colOff>
      <xdr:row>16</xdr:row>
      <xdr:rowOff>51111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63F10E69-CAB5-48D8-80AA-BD125960AC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905180" y="2779955"/>
          <a:ext cx="4351397" cy="148827"/>
        </a:xfrm>
        <a:prstGeom prst="rect">
          <a:avLst/>
        </a:prstGeom>
      </xdr:spPr>
    </xdr:pic>
    <xdr:clientData/>
  </xdr:twoCellAnchor>
  <xdr:twoCellAnchor editAs="oneCell">
    <xdr:from>
      <xdr:col>24</xdr:col>
      <xdr:colOff>457200</xdr:colOff>
      <xdr:row>8</xdr:row>
      <xdr:rowOff>167640</xdr:rowOff>
    </xdr:from>
    <xdr:to>
      <xdr:col>32</xdr:col>
      <xdr:colOff>465243</xdr:colOff>
      <xdr:row>12</xdr:row>
      <xdr:rowOff>99117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1098230F-BFAD-4F88-A9AA-75A3ED4027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558760" y="1638300"/>
          <a:ext cx="4884843" cy="662997"/>
        </a:xfrm>
        <a:prstGeom prst="rect">
          <a:avLst/>
        </a:prstGeom>
      </xdr:spPr>
    </xdr:pic>
    <xdr:clientData/>
  </xdr:twoCellAnchor>
  <xdr:twoCellAnchor editAs="oneCell">
    <xdr:from>
      <xdr:col>16</xdr:col>
      <xdr:colOff>477370</xdr:colOff>
      <xdr:row>16</xdr:row>
      <xdr:rowOff>121023</xdr:rowOff>
    </xdr:from>
    <xdr:to>
      <xdr:col>24</xdr:col>
      <xdr:colOff>531137</xdr:colOff>
      <xdr:row>19</xdr:row>
      <xdr:rowOff>44865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86B6D3E1-6004-4096-89B7-17ECDB035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887699" y="2998694"/>
          <a:ext cx="4930567" cy="461724"/>
        </a:xfrm>
        <a:prstGeom prst="rect">
          <a:avLst/>
        </a:prstGeom>
      </xdr:spPr>
    </xdr:pic>
    <xdr:clientData/>
  </xdr:twoCellAnchor>
  <xdr:twoCellAnchor editAs="oneCell">
    <xdr:from>
      <xdr:col>16</xdr:col>
      <xdr:colOff>444650</xdr:colOff>
      <xdr:row>19</xdr:row>
      <xdr:rowOff>104887</xdr:rowOff>
    </xdr:from>
    <xdr:to>
      <xdr:col>24</xdr:col>
      <xdr:colOff>346004</xdr:colOff>
      <xdr:row>22</xdr:row>
      <xdr:rowOff>21107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2D6B3C1F-358C-4AD4-A0C3-2FDB0EBE6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854979" y="3520440"/>
          <a:ext cx="4778154" cy="4541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opLeftCell="A4" workbookViewId="0">
      <selection sqref="A1:F1"/>
    </sheetView>
  </sheetViews>
  <sheetFormatPr defaultRowHeight="14.4" x14ac:dyDescent="0.3"/>
  <cols>
    <col min="1" max="1" width="36.6640625" customWidth="1"/>
    <col min="2" max="2" width="10.21875" customWidth="1"/>
    <col min="3" max="3" width="23.44140625" customWidth="1"/>
    <col min="4" max="4" width="41.77734375" customWidth="1"/>
    <col min="5" max="6" width="15.33203125" customWidth="1"/>
  </cols>
  <sheetData>
    <row r="1" spans="1:6" ht="25.2" customHeight="1" x14ac:dyDescent="0.3">
      <c r="A1" s="33" t="s">
        <v>0</v>
      </c>
      <c r="B1" s="34"/>
      <c r="C1" s="34"/>
      <c r="D1" s="34"/>
      <c r="E1" s="34"/>
      <c r="F1" s="34"/>
    </row>
    <row r="2" spans="1:6" ht="18" customHeight="1" x14ac:dyDescent="0.3">
      <c r="A2" s="1" t="s">
        <v>1</v>
      </c>
      <c r="B2" s="35" t="s">
        <v>2</v>
      </c>
      <c r="C2" s="34"/>
      <c r="D2" s="34"/>
      <c r="E2" s="34"/>
      <c r="F2" s="34"/>
    </row>
    <row r="3" spans="1:6" ht="18" customHeight="1" x14ac:dyDescent="0.3">
      <c r="A3" s="1" t="s">
        <v>3</v>
      </c>
      <c r="B3" s="35" t="s">
        <v>4</v>
      </c>
      <c r="C3" s="34"/>
      <c r="D3" s="34"/>
      <c r="E3" s="34"/>
      <c r="F3" s="34"/>
    </row>
    <row r="4" spans="1:6" ht="18" customHeight="1" x14ac:dyDescent="0.3">
      <c r="A4" s="1" t="s">
        <v>5</v>
      </c>
      <c r="B4" s="35" t="s">
        <v>6</v>
      </c>
      <c r="C4" s="34"/>
      <c r="D4" s="34"/>
      <c r="E4" s="34"/>
      <c r="F4" s="34"/>
    </row>
    <row r="5" spans="1:6" ht="18" customHeight="1" x14ac:dyDescent="0.3">
      <c r="A5" s="1" t="s">
        <v>7</v>
      </c>
      <c r="B5" s="35" t="s">
        <v>8</v>
      </c>
      <c r="C5" s="34"/>
      <c r="D5" s="34"/>
      <c r="E5" s="34"/>
      <c r="F5" s="34"/>
    </row>
    <row r="6" spans="1:6" ht="18" customHeight="1" x14ac:dyDescent="0.3">
      <c r="A6" s="1" t="s">
        <v>9</v>
      </c>
      <c r="B6" s="35" t="s">
        <v>10</v>
      </c>
      <c r="C6" s="34"/>
      <c r="D6" s="34"/>
      <c r="E6" s="34"/>
      <c r="F6" s="34"/>
    </row>
    <row r="7" spans="1:6" ht="18" customHeight="1" x14ac:dyDescent="0.3">
      <c r="A7" s="1" t="s">
        <v>11</v>
      </c>
      <c r="B7" s="35" t="s">
        <v>12</v>
      </c>
      <c r="C7" s="34"/>
      <c r="D7" s="34"/>
      <c r="E7" s="34"/>
      <c r="F7" s="34"/>
    </row>
    <row r="8" spans="1:6" ht="25.2" customHeight="1" x14ac:dyDescent="0.3">
      <c r="A8" s="33" t="s">
        <v>13</v>
      </c>
      <c r="B8" s="34"/>
      <c r="C8" s="34"/>
      <c r="D8" s="34"/>
      <c r="E8" s="34"/>
      <c r="F8" s="34"/>
    </row>
    <row r="9" spans="1:6" ht="18" customHeight="1" x14ac:dyDescent="0.3">
      <c r="A9" s="35" t="s">
        <v>14</v>
      </c>
      <c r="B9" s="34"/>
      <c r="C9" s="34"/>
      <c r="D9" s="34"/>
      <c r="E9" s="2" t="s">
        <v>15</v>
      </c>
      <c r="F9" s="2" t="s">
        <v>16</v>
      </c>
    </row>
    <row r="10" spans="1:6" ht="18" customHeight="1" x14ac:dyDescent="0.3">
      <c r="A10" s="35" t="s">
        <v>17</v>
      </c>
      <c r="B10" s="34"/>
      <c r="C10" s="34"/>
      <c r="D10" s="1" t="s">
        <v>18</v>
      </c>
      <c r="E10" s="2" t="s">
        <v>19</v>
      </c>
      <c r="F10" s="2" t="s">
        <v>19</v>
      </c>
    </row>
    <row r="11" spans="1:6" ht="18" customHeight="1" x14ac:dyDescent="0.3">
      <c r="A11" s="35" t="s">
        <v>20</v>
      </c>
      <c r="B11" s="34"/>
      <c r="C11" s="34"/>
      <c r="D11" s="1" t="s">
        <v>21</v>
      </c>
      <c r="E11" s="2" t="s">
        <v>22</v>
      </c>
      <c r="F11" s="2" t="s">
        <v>23</v>
      </c>
    </row>
    <row r="12" spans="1:6" ht="18" customHeight="1" x14ac:dyDescent="0.3">
      <c r="A12" s="35" t="s">
        <v>24</v>
      </c>
      <c r="B12" s="34"/>
      <c r="C12" s="34"/>
      <c r="D12" s="1" t="s">
        <v>25</v>
      </c>
      <c r="E12" s="2" t="s">
        <v>26</v>
      </c>
      <c r="F12" s="2" t="s">
        <v>27</v>
      </c>
    </row>
    <row r="13" spans="1:6" ht="32.4" customHeight="1" x14ac:dyDescent="0.3">
      <c r="A13" s="35" t="s">
        <v>28</v>
      </c>
      <c r="B13" s="34"/>
      <c r="C13" s="34"/>
      <c r="D13" s="1" t="s">
        <v>29</v>
      </c>
      <c r="E13" s="2" t="s">
        <v>30</v>
      </c>
      <c r="F13" s="2" t="s">
        <v>31</v>
      </c>
    </row>
    <row r="14" spans="1:6" ht="72" customHeight="1" x14ac:dyDescent="0.3">
      <c r="A14" s="35" t="s">
        <v>32</v>
      </c>
      <c r="B14" s="34"/>
      <c r="C14" s="34"/>
      <c r="D14" s="1" t="s">
        <v>33</v>
      </c>
      <c r="E14" s="2" t="s">
        <v>34</v>
      </c>
      <c r="F14" s="2" t="s">
        <v>35</v>
      </c>
    </row>
    <row r="15" spans="1:6" ht="18" customHeight="1" x14ac:dyDescent="0.3">
      <c r="A15" s="36" t="s">
        <v>36</v>
      </c>
      <c r="B15" s="37"/>
      <c r="C15" s="37"/>
      <c r="D15" s="36" t="s">
        <v>37</v>
      </c>
      <c r="E15" s="37"/>
      <c r="F15" s="37"/>
    </row>
    <row r="16" spans="1:6" ht="18" customHeight="1" x14ac:dyDescent="0.3">
      <c r="A16" s="36" t="s">
        <v>38</v>
      </c>
      <c r="B16" s="37"/>
      <c r="C16" s="37"/>
      <c r="D16" s="3"/>
      <c r="E16" s="38" t="s">
        <v>35</v>
      </c>
      <c r="F16" s="37"/>
    </row>
    <row r="17" spans="1:6" ht="25.2" customHeight="1" x14ac:dyDescent="0.3">
      <c r="A17" s="33" t="s">
        <v>39</v>
      </c>
      <c r="B17" s="34"/>
      <c r="C17" s="34"/>
      <c r="D17" s="34"/>
      <c r="E17" s="34"/>
      <c r="F17" s="34"/>
    </row>
    <row r="18" spans="1:6" ht="18" customHeight="1" x14ac:dyDescent="0.3">
      <c r="A18" s="1" t="s">
        <v>40</v>
      </c>
      <c r="B18" s="35" t="s">
        <v>41</v>
      </c>
      <c r="C18" s="34"/>
      <c r="D18" s="34"/>
      <c r="E18" s="34"/>
      <c r="F18" s="34"/>
    </row>
    <row r="19" spans="1:6" ht="18" customHeight="1" x14ac:dyDescent="0.3">
      <c r="B19" s="35" t="s">
        <v>42</v>
      </c>
      <c r="C19" s="34"/>
      <c r="D19" s="34"/>
      <c r="E19" s="34"/>
      <c r="F19" s="34"/>
    </row>
    <row r="20" spans="1:6" ht="18" customHeight="1" x14ac:dyDescent="0.3">
      <c r="A20" s="1" t="s">
        <v>43</v>
      </c>
      <c r="B20" s="35" t="s">
        <v>44</v>
      </c>
      <c r="C20" s="34"/>
      <c r="D20" s="34"/>
      <c r="E20" s="34"/>
      <c r="F20" s="34"/>
    </row>
    <row r="21" spans="1:6" ht="25.2" customHeight="1" x14ac:dyDescent="0.3">
      <c r="A21" s="33" t="s">
        <v>45</v>
      </c>
      <c r="B21" s="34"/>
      <c r="C21" s="34"/>
      <c r="D21" s="34"/>
      <c r="E21" s="34"/>
      <c r="F21" s="34"/>
    </row>
    <row r="22" spans="1:6" ht="18" customHeight="1" x14ac:dyDescent="0.3">
      <c r="A22" s="35" t="s">
        <v>46</v>
      </c>
      <c r="B22" s="34"/>
      <c r="C22" s="35" t="s">
        <v>47</v>
      </c>
      <c r="D22" s="34"/>
      <c r="E22" s="34"/>
      <c r="F22" s="34"/>
    </row>
    <row r="23" spans="1:6" ht="18" customHeight="1" x14ac:dyDescent="0.3">
      <c r="A23" s="35" t="s">
        <v>48</v>
      </c>
      <c r="B23" s="34"/>
      <c r="C23" s="35" t="s">
        <v>49</v>
      </c>
      <c r="D23" s="34"/>
      <c r="E23" s="34"/>
      <c r="F23" s="34"/>
    </row>
    <row r="24" spans="1:6" ht="25.2" customHeight="1" x14ac:dyDescent="0.3">
      <c r="A24" s="33" t="s">
        <v>50</v>
      </c>
      <c r="B24" s="34"/>
      <c r="C24" s="34"/>
      <c r="D24" s="34"/>
      <c r="E24" s="34"/>
      <c r="F24" s="34"/>
    </row>
    <row r="25" spans="1:6" ht="18" customHeight="1" x14ac:dyDescent="0.3">
      <c r="A25" s="35" t="s">
        <v>51</v>
      </c>
      <c r="B25" s="34"/>
      <c r="C25" s="34"/>
      <c r="D25" s="34"/>
      <c r="E25" s="34"/>
      <c r="F25" s="34"/>
    </row>
    <row r="26" spans="1:6" ht="18" customHeight="1" x14ac:dyDescent="0.3">
      <c r="A26" s="35" t="s">
        <v>52</v>
      </c>
      <c r="B26" s="34"/>
      <c r="C26" s="34"/>
      <c r="D26" s="34"/>
      <c r="E26" s="34"/>
      <c r="F26" s="34"/>
    </row>
    <row r="27" spans="1:6" ht="25.2" customHeight="1" x14ac:dyDescent="0.3">
      <c r="A27" s="33" t="s">
        <v>53</v>
      </c>
      <c r="B27" s="34"/>
      <c r="C27" s="34"/>
      <c r="D27" s="34"/>
      <c r="E27" s="34"/>
      <c r="F27" s="34"/>
    </row>
    <row r="28" spans="1:6" ht="32.4" customHeight="1" x14ac:dyDescent="0.3">
      <c r="A28" s="35" t="s">
        <v>54</v>
      </c>
      <c r="B28" s="34"/>
      <c r="C28" s="34"/>
      <c r="D28" s="34"/>
      <c r="E28" s="34"/>
      <c r="F28" s="34"/>
    </row>
  </sheetData>
  <mergeCells count="32">
    <mergeCell ref="A27:F27"/>
    <mergeCell ref="A28:F28"/>
    <mergeCell ref="A23:B23"/>
    <mergeCell ref="C23:F23"/>
    <mergeCell ref="A24:F24"/>
    <mergeCell ref="A25:F25"/>
    <mergeCell ref="A26:F26"/>
    <mergeCell ref="B19:F19"/>
    <mergeCell ref="B20:F20"/>
    <mergeCell ref="A21:F21"/>
    <mergeCell ref="A22:B22"/>
    <mergeCell ref="C22:F22"/>
    <mergeCell ref="D15:F15"/>
    <mergeCell ref="A16:C16"/>
    <mergeCell ref="E16:F16"/>
    <mergeCell ref="A17:F17"/>
    <mergeCell ref="B18:F18"/>
    <mergeCell ref="A11:C11"/>
    <mergeCell ref="A12:C12"/>
    <mergeCell ref="A13:C13"/>
    <mergeCell ref="A14:C14"/>
    <mergeCell ref="A15:C15"/>
    <mergeCell ref="B6:F6"/>
    <mergeCell ref="B7:F7"/>
    <mergeCell ref="A8:F8"/>
    <mergeCell ref="A9:D9"/>
    <mergeCell ref="A10:C10"/>
    <mergeCell ref="A1:F1"/>
    <mergeCell ref="B2:F2"/>
    <mergeCell ref="B3:F3"/>
    <mergeCell ref="B4:F4"/>
    <mergeCell ref="B5:F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N48"/>
  <sheetViews>
    <sheetView topLeftCell="W10" zoomScale="55" zoomScaleNormal="55" workbookViewId="0">
      <selection activeCell="AK33" sqref="AK33"/>
    </sheetView>
  </sheetViews>
  <sheetFormatPr defaultRowHeight="14.4" x14ac:dyDescent="0.3"/>
  <cols>
    <col min="1" max="1" width="6.109375" customWidth="1"/>
    <col min="2" max="2" width="50.33203125" customWidth="1"/>
    <col min="3" max="3" width="12.6640625" customWidth="1"/>
    <col min="4" max="4" width="13.77734375" customWidth="1"/>
    <col min="5" max="35" width="15.33203125" customWidth="1"/>
    <col min="36" max="36" width="16.77734375" customWidth="1"/>
    <col min="37" max="67" width="15.33203125" customWidth="1"/>
  </cols>
  <sheetData>
    <row r="1" spans="1:92" ht="61.2" customHeight="1" x14ac:dyDescent="0.3">
      <c r="A1" s="4"/>
      <c r="B1" s="5" t="s">
        <v>55</v>
      </c>
      <c r="C1" s="5" t="s">
        <v>56</v>
      </c>
      <c r="D1" s="5" t="s">
        <v>57</v>
      </c>
      <c r="E1" s="5" t="s">
        <v>58</v>
      </c>
      <c r="F1" s="5" t="s">
        <v>59</v>
      </c>
      <c r="G1" s="5" t="s">
        <v>60</v>
      </c>
      <c r="H1" s="5" t="s">
        <v>61</v>
      </c>
      <c r="I1" s="5" t="s">
        <v>62</v>
      </c>
      <c r="J1" s="5" t="s">
        <v>63</v>
      </c>
      <c r="K1" s="5" t="s">
        <v>64</v>
      </c>
      <c r="L1" s="5" t="s">
        <v>65</v>
      </c>
      <c r="M1" s="5" t="s">
        <v>66</v>
      </c>
      <c r="N1" s="5" t="s">
        <v>67</v>
      </c>
      <c r="O1" s="5" t="s">
        <v>68</v>
      </c>
      <c r="P1" s="5" t="s">
        <v>69</v>
      </c>
      <c r="Q1" s="5" t="s">
        <v>70</v>
      </c>
      <c r="R1" s="5" t="s">
        <v>71</v>
      </c>
      <c r="S1" s="5" t="s">
        <v>72</v>
      </c>
      <c r="T1" s="5" t="s">
        <v>73</v>
      </c>
      <c r="U1" s="5" t="s">
        <v>74</v>
      </c>
      <c r="V1" s="5" t="s">
        <v>75</v>
      </c>
      <c r="W1" s="5" t="s">
        <v>76</v>
      </c>
      <c r="X1" s="5" t="s">
        <v>77</v>
      </c>
      <c r="Y1" s="5" t="s">
        <v>78</v>
      </c>
      <c r="Z1" s="5" t="s">
        <v>79</v>
      </c>
      <c r="AA1" s="5" t="s">
        <v>80</v>
      </c>
      <c r="AB1" s="5" t="s">
        <v>81</v>
      </c>
      <c r="AC1" s="5" t="s">
        <v>82</v>
      </c>
      <c r="AD1" s="5" t="s">
        <v>83</v>
      </c>
      <c r="AE1" s="5" t="s">
        <v>84</v>
      </c>
      <c r="AF1" s="5" t="s">
        <v>85</v>
      </c>
      <c r="AG1" s="5" t="s">
        <v>86</v>
      </c>
      <c r="AH1" s="5" t="s">
        <v>87</v>
      </c>
      <c r="AI1" s="5" t="s">
        <v>88</v>
      </c>
      <c r="AJ1" s="5" t="s">
        <v>89</v>
      </c>
      <c r="AK1" s="5" t="s">
        <v>90</v>
      </c>
      <c r="AL1" s="5" t="s">
        <v>91</v>
      </c>
      <c r="AM1" s="5" t="s">
        <v>92</v>
      </c>
      <c r="AN1" s="5" t="s">
        <v>93</v>
      </c>
      <c r="AO1" s="5" t="s">
        <v>94</v>
      </c>
      <c r="AP1" s="5" t="s">
        <v>95</v>
      </c>
      <c r="AQ1" s="5" t="s">
        <v>96</v>
      </c>
      <c r="AR1" s="5" t="s">
        <v>97</v>
      </c>
      <c r="AS1" s="5" t="s">
        <v>98</v>
      </c>
      <c r="AT1" s="5" t="s">
        <v>99</v>
      </c>
      <c r="AU1" s="5" t="s">
        <v>100</v>
      </c>
      <c r="AV1" s="5" t="s">
        <v>101</v>
      </c>
      <c r="AW1" s="5" t="s">
        <v>102</v>
      </c>
      <c r="AX1" s="5" t="s">
        <v>103</v>
      </c>
      <c r="AY1" s="5" t="s">
        <v>104</v>
      </c>
      <c r="AZ1" s="5" t="s">
        <v>105</v>
      </c>
      <c r="BA1" s="5" t="s">
        <v>106</v>
      </c>
      <c r="BB1" s="5" t="s">
        <v>107</v>
      </c>
      <c r="BC1" s="5" t="s">
        <v>108</v>
      </c>
      <c r="BD1" s="5" t="s">
        <v>109</v>
      </c>
      <c r="BE1" s="5" t="s">
        <v>110</v>
      </c>
      <c r="BF1" s="5" t="s">
        <v>111</v>
      </c>
      <c r="BG1" s="5" t="s">
        <v>112</v>
      </c>
      <c r="BH1" s="5" t="s">
        <v>113</v>
      </c>
      <c r="BI1" s="5" t="s">
        <v>114</v>
      </c>
      <c r="BJ1" s="5" t="s">
        <v>115</v>
      </c>
      <c r="BK1" s="5" t="s">
        <v>116</v>
      </c>
      <c r="BL1" s="5" t="s">
        <v>117</v>
      </c>
      <c r="BM1" s="5" t="s">
        <v>118</v>
      </c>
      <c r="BN1" s="5" t="s">
        <v>119</v>
      </c>
      <c r="BO1" s="5" t="s">
        <v>120</v>
      </c>
      <c r="BR1" s="17" t="s">
        <v>172</v>
      </c>
      <c r="BS1" s="16"/>
      <c r="BT1" s="16"/>
      <c r="BU1" s="16"/>
      <c r="BV1" s="16"/>
      <c r="BW1" s="16"/>
      <c r="BX1" s="16"/>
      <c r="BZ1" s="15" t="s">
        <v>171</v>
      </c>
      <c r="CH1" s="15" t="s">
        <v>207</v>
      </c>
    </row>
    <row r="2" spans="1:92" ht="36" customHeight="1" x14ac:dyDescent="0.3">
      <c r="A2" s="6" t="s">
        <v>121</v>
      </c>
      <c r="B2" s="1" t="s">
        <v>122</v>
      </c>
      <c r="C2" s="1" t="s">
        <v>123</v>
      </c>
      <c r="D2" s="2" t="s">
        <v>124</v>
      </c>
      <c r="E2" s="7">
        <v>0.361151</v>
      </c>
      <c r="F2" s="7">
        <v>0.51758999999999999</v>
      </c>
      <c r="G2" s="7">
        <v>0.51393</v>
      </c>
      <c r="H2" s="7">
        <v>0.96636100000000003</v>
      </c>
      <c r="I2" s="7">
        <v>0.456729</v>
      </c>
      <c r="J2" s="7">
        <v>0.41330499999999998</v>
      </c>
      <c r="K2" s="7">
        <v>0.20585999999999999</v>
      </c>
      <c r="L2" s="7">
        <v>5.3482900000000004</v>
      </c>
      <c r="M2" s="7">
        <v>7.4897179999999999</v>
      </c>
      <c r="N2" s="7">
        <v>7.3399789999999996</v>
      </c>
      <c r="O2" s="7">
        <v>13.885558</v>
      </c>
      <c r="P2" s="7">
        <v>6.5385239999999998</v>
      </c>
      <c r="Q2" s="7">
        <v>5.8384499999999999</v>
      </c>
      <c r="R2" s="7">
        <v>2.907235</v>
      </c>
      <c r="S2" s="8">
        <v>1002614000000</v>
      </c>
      <c r="T2" s="8">
        <v>816570000000</v>
      </c>
      <c r="U2" s="8">
        <v>787790000000</v>
      </c>
      <c r="V2" s="8">
        <v>796861000000</v>
      </c>
      <c r="W2" s="8">
        <v>725138000000</v>
      </c>
      <c r="X2" s="8">
        <v>676568000000</v>
      </c>
      <c r="Y2" s="8">
        <v>646427000000</v>
      </c>
      <c r="Z2" s="8">
        <v>4356000000</v>
      </c>
      <c r="AA2" s="8">
        <v>2175000000</v>
      </c>
      <c r="AB2" s="8">
        <v>2507000000</v>
      </c>
      <c r="AC2" s="8">
        <v>2653000000</v>
      </c>
      <c r="AD2" s="8">
        <v>3026000000</v>
      </c>
      <c r="AE2" s="8">
        <v>2751000000</v>
      </c>
      <c r="AF2" s="8">
        <v>4102000000</v>
      </c>
      <c r="AG2" s="8">
        <v>489272000000</v>
      </c>
      <c r="AH2" s="8">
        <v>389814000000</v>
      </c>
      <c r="AI2" s="8">
        <v>374043000000</v>
      </c>
      <c r="AJ2" s="8">
        <v>380437000000</v>
      </c>
      <c r="AK2" s="8">
        <v>334773000000</v>
      </c>
      <c r="AL2" s="8">
        <v>347333000000</v>
      </c>
      <c r="AM2" s="8">
        <v>322178000000</v>
      </c>
      <c r="AN2" s="7">
        <v>6.6148088895630002</v>
      </c>
      <c r="AO2" s="7">
        <v>6.9218805491259996</v>
      </c>
      <c r="AP2" s="7">
        <v>6.8990467002629998</v>
      </c>
      <c r="AQ2" s="7">
        <v>7.1033718553170004</v>
      </c>
      <c r="AR2" s="7">
        <v>6.8013260924130003</v>
      </c>
      <c r="AS2" s="7">
        <v>7.1822787953320004</v>
      </c>
      <c r="AT2" s="7">
        <v>6.9709340729890004</v>
      </c>
      <c r="AU2" s="7">
        <v>58.818565</v>
      </c>
      <c r="AV2" s="7">
        <v>56.034395000000004</v>
      </c>
      <c r="AW2" s="7">
        <v>52.236682999999999</v>
      </c>
      <c r="AX2" s="7">
        <v>62.747925000000002</v>
      </c>
      <c r="AY2" s="7">
        <v>48.601148000000002</v>
      </c>
      <c r="AZ2" s="7">
        <v>47.703584999999997</v>
      </c>
      <c r="BA2" s="7">
        <v>44.072237999999999</v>
      </c>
      <c r="BB2" s="8">
        <v>22515000000</v>
      </c>
      <c r="BC2" s="8">
        <v>19538000000</v>
      </c>
      <c r="BD2" s="8">
        <v>18979000000</v>
      </c>
      <c r="BE2" s="8">
        <v>22890000000</v>
      </c>
      <c r="BF2" s="8">
        <v>16728000000</v>
      </c>
      <c r="BG2" s="8">
        <v>17462000000</v>
      </c>
      <c r="BH2" s="8">
        <v>17553000000</v>
      </c>
      <c r="BI2" s="8">
        <v>3285000000</v>
      </c>
      <c r="BJ2" s="8">
        <v>4152000000</v>
      </c>
      <c r="BK2" s="8">
        <v>4072000000</v>
      </c>
      <c r="BL2" s="8">
        <v>7354000000</v>
      </c>
      <c r="BM2" s="8">
        <v>3201000000</v>
      </c>
      <c r="BN2" s="8">
        <v>2734000000</v>
      </c>
      <c r="BO2" s="8">
        <v>1310000000</v>
      </c>
      <c r="BR2">
        <v>8.9030232672215048E-3</v>
      </c>
      <c r="BS2">
        <v>5.5795841093444565E-3</v>
      </c>
      <c r="BT2">
        <v>6.7024379549944797E-3</v>
      </c>
      <c r="BU2">
        <v>6.9735593541111933E-3</v>
      </c>
      <c r="BV2">
        <v>9.0389607286131199E-3</v>
      </c>
      <c r="BW2">
        <v>7.9203530905499909E-3</v>
      </c>
      <c r="BX2">
        <v>1.2732092197480895E-2</v>
      </c>
      <c r="BZ2">
        <v>0.48799637746929525</v>
      </c>
      <c r="CA2">
        <v>0.47737977148315514</v>
      </c>
      <c r="CB2">
        <v>0.47480039096713589</v>
      </c>
      <c r="CC2">
        <v>0.47741952486067207</v>
      </c>
      <c r="CD2">
        <v>0.46166798595577668</v>
      </c>
      <c r="CE2">
        <v>0.51337485662934101</v>
      </c>
      <c r="CF2">
        <v>0.49839811765288267</v>
      </c>
      <c r="CH2">
        <v>1.3208472961428824E-2</v>
      </c>
      <c r="CI2">
        <v>1.3407301388858274E-2</v>
      </c>
      <c r="CJ2">
        <v>1.2584572115119512E-2</v>
      </c>
      <c r="CK2">
        <v>1.8024473568790545E-2</v>
      </c>
      <c r="CL2">
        <v>1.1211659073776302E-2</v>
      </c>
      <c r="CM2">
        <v>1.2312140114075746E-2</v>
      </c>
      <c r="CN2">
        <v>1.1967321810722633E-2</v>
      </c>
    </row>
    <row r="3" spans="1:92" ht="36" customHeight="1" x14ac:dyDescent="0.3">
      <c r="A3" s="6" t="s">
        <v>125</v>
      </c>
      <c r="B3" s="1" t="s">
        <v>126</v>
      </c>
      <c r="C3" s="1" t="s">
        <v>123</v>
      </c>
      <c r="D3" s="2" t="s">
        <v>124</v>
      </c>
      <c r="E3" s="7">
        <v>-0.310894</v>
      </c>
      <c r="F3" s="7">
        <v>0.41366999999999998</v>
      </c>
      <c r="G3" s="7">
        <v>0.52008399999999999</v>
      </c>
      <c r="H3" s="7">
        <v>0.68213199999999996</v>
      </c>
      <c r="I3" s="7">
        <v>-1.3170390000000001</v>
      </c>
      <c r="J3" s="7">
        <v>0.24004300000000001</v>
      </c>
      <c r="K3" s="7">
        <v>0.285968</v>
      </c>
      <c r="L3" s="7">
        <v>-4.5643120000000001</v>
      </c>
      <c r="M3" s="7">
        <v>5.8605780000000003</v>
      </c>
      <c r="N3" s="7">
        <v>7.3825409999999998</v>
      </c>
      <c r="O3" s="7">
        <v>11.189261999999999</v>
      </c>
      <c r="P3" s="7">
        <v>-23.432016000000001</v>
      </c>
      <c r="Q3" s="7">
        <v>3.8486220000000002</v>
      </c>
      <c r="R3" s="7">
        <v>4.6418470000000003</v>
      </c>
      <c r="S3" s="8">
        <v>931456000000</v>
      </c>
      <c r="T3" s="8">
        <v>855647000000</v>
      </c>
      <c r="U3" s="8">
        <v>832172000000</v>
      </c>
      <c r="V3" s="8">
        <v>836789724000</v>
      </c>
      <c r="W3" s="8">
        <v>859532774000</v>
      </c>
      <c r="X3" s="8">
        <v>860433375000</v>
      </c>
      <c r="Y3" s="8">
        <v>844217390000</v>
      </c>
      <c r="Z3" s="8">
        <v>4640000000</v>
      </c>
      <c r="AA3" s="8">
        <v>3478000000</v>
      </c>
      <c r="AB3" s="8">
        <v>2655000000</v>
      </c>
      <c r="AC3" s="8">
        <v>2090607000</v>
      </c>
      <c r="AD3" s="8">
        <v>11929784000</v>
      </c>
      <c r="AE3" s="8">
        <v>3964084000</v>
      </c>
      <c r="AF3" s="8">
        <v>4178413000</v>
      </c>
      <c r="AG3" s="8">
        <v>471244000000</v>
      </c>
      <c r="AH3" s="8">
        <v>467876000000</v>
      </c>
      <c r="AI3" s="8">
        <v>468882000000</v>
      </c>
      <c r="AJ3" s="8">
        <v>421846292000</v>
      </c>
      <c r="AK3" s="8">
        <v>417868403000</v>
      </c>
      <c r="AL3" s="8">
        <v>417792662000</v>
      </c>
      <c r="AM3" s="8">
        <v>442958904000</v>
      </c>
      <c r="AN3" s="7">
        <v>6.4353012917410002</v>
      </c>
      <c r="AO3" s="7">
        <v>7.2208515894990004</v>
      </c>
      <c r="AP3" s="7">
        <v>6.891604139529</v>
      </c>
      <c r="AQ3" s="7">
        <v>7.197112759955</v>
      </c>
      <c r="AR3" s="7">
        <v>5.0246253902589997</v>
      </c>
      <c r="AS3" s="7">
        <v>6.2161144086259998</v>
      </c>
      <c r="AT3" s="7">
        <v>6.2585244779189999</v>
      </c>
      <c r="AU3" s="7">
        <v>47.250610999999999</v>
      </c>
      <c r="AV3" s="7">
        <v>49.336621000000001</v>
      </c>
      <c r="AW3" s="7">
        <v>49.304474999999996</v>
      </c>
      <c r="AX3" s="7">
        <v>48.318676000000004</v>
      </c>
      <c r="AY3" s="7">
        <v>48.266686999999997</v>
      </c>
      <c r="AZ3" s="7">
        <v>45.799314000000003</v>
      </c>
      <c r="BA3" s="7">
        <v>48.478299</v>
      </c>
      <c r="BB3" s="8">
        <v>18004000000</v>
      </c>
      <c r="BC3" s="8">
        <v>20275000000</v>
      </c>
      <c r="BD3" s="8">
        <v>21207000000</v>
      </c>
      <c r="BE3" s="8">
        <v>19926078000</v>
      </c>
      <c r="BF3" s="8">
        <v>19923354000</v>
      </c>
      <c r="BG3" s="8">
        <v>19675035000</v>
      </c>
      <c r="BH3" s="8">
        <v>23411174000</v>
      </c>
      <c r="BI3" s="8">
        <v>-2778000000</v>
      </c>
      <c r="BJ3" s="8">
        <v>3491000000</v>
      </c>
      <c r="BK3" s="8">
        <v>4340000000</v>
      </c>
      <c r="BL3" s="8">
        <v>5785576000</v>
      </c>
      <c r="BM3" s="8">
        <v>-11326313000</v>
      </c>
      <c r="BN3" s="8">
        <v>2045948000</v>
      </c>
      <c r="BO3" s="8">
        <v>2388027000</v>
      </c>
      <c r="BR3">
        <v>9.8462792099209759E-3</v>
      </c>
      <c r="BS3">
        <v>7.4335935162307964E-3</v>
      </c>
      <c r="BT3">
        <v>5.6624054666205995E-3</v>
      </c>
      <c r="BU3">
        <v>4.9558501275151663E-3</v>
      </c>
      <c r="BV3">
        <v>2.8549141103640707E-2</v>
      </c>
      <c r="BW3">
        <v>9.4881609002505658E-3</v>
      </c>
      <c r="BX3">
        <v>9.4329585933777722E-3</v>
      </c>
      <c r="BZ3">
        <v>0.50592191150199262</v>
      </c>
      <c r="CA3">
        <v>0.54680960723288929</v>
      </c>
      <c r="CB3">
        <v>0.56344361502189455</v>
      </c>
      <c r="CC3">
        <v>0.50412460849005358</v>
      </c>
      <c r="CD3">
        <v>0.48615761450883316</v>
      </c>
      <c r="CE3">
        <v>0.48556073501914077</v>
      </c>
      <c r="CF3">
        <v>0.52469767769176134</v>
      </c>
      <c r="CH3">
        <v>9.1330132657259176E-3</v>
      </c>
      <c r="CI3">
        <v>1.1690568549588791E-2</v>
      </c>
      <c r="CJ3">
        <v>1.2564710196029186E-2</v>
      </c>
      <c r="CK3">
        <v>1.1505897828553258E-2</v>
      </c>
      <c r="CL3">
        <v>1.1187872302216576E-2</v>
      </c>
      <c r="CM3">
        <v>1.0472665660208614E-2</v>
      </c>
      <c r="CN3">
        <v>1.3443621353417347E-2</v>
      </c>
    </row>
    <row r="4" spans="1:92" ht="36" customHeight="1" x14ac:dyDescent="0.3">
      <c r="A4" s="6" t="s">
        <v>127</v>
      </c>
      <c r="B4" s="1" t="s">
        <v>128</v>
      </c>
      <c r="C4" s="1" t="s">
        <v>123</v>
      </c>
      <c r="D4" s="2" t="s">
        <v>124</v>
      </c>
      <c r="E4" s="7">
        <v>9.4839999999999994E-3</v>
      </c>
      <c r="F4" s="7">
        <v>0.47720899999999999</v>
      </c>
      <c r="G4" s="7">
        <v>-4.2935000000000001E-2</v>
      </c>
      <c r="H4" s="7">
        <v>0.37967800000000002</v>
      </c>
      <c r="I4" s="2" t="s">
        <v>129</v>
      </c>
      <c r="J4" s="2" t="s">
        <v>129</v>
      </c>
      <c r="K4" s="2" t="s">
        <v>129</v>
      </c>
      <c r="L4" s="7">
        <v>0.13794400000000001</v>
      </c>
      <c r="M4" s="7">
        <v>7.0424610000000003</v>
      </c>
      <c r="N4" s="7">
        <v>-0.62019999999999997</v>
      </c>
      <c r="O4" s="7">
        <v>5.2201690000000003</v>
      </c>
      <c r="P4" s="2" t="s">
        <v>129</v>
      </c>
      <c r="Q4" s="2" t="s">
        <v>129</v>
      </c>
      <c r="R4" s="2" t="s">
        <v>129</v>
      </c>
      <c r="S4" s="8">
        <v>183685182000</v>
      </c>
      <c r="T4" s="8">
        <v>167038201000</v>
      </c>
      <c r="U4" s="8">
        <v>160464791000</v>
      </c>
      <c r="V4" s="8">
        <v>161206765000</v>
      </c>
      <c r="W4" s="8">
        <v>168254920000</v>
      </c>
      <c r="X4" s="2" t="s">
        <v>129</v>
      </c>
      <c r="Y4" s="2" t="s">
        <v>129</v>
      </c>
      <c r="Z4" s="8">
        <v>1049211000</v>
      </c>
      <c r="AA4" s="8">
        <v>724741000</v>
      </c>
      <c r="AB4" s="8">
        <v>1674775000</v>
      </c>
      <c r="AC4" s="8">
        <v>1433288000</v>
      </c>
      <c r="AD4" s="8">
        <v>2958152000</v>
      </c>
      <c r="AE4" s="2" t="s">
        <v>129</v>
      </c>
      <c r="AF4" s="2" t="s">
        <v>129</v>
      </c>
      <c r="AG4" s="8">
        <v>126561869000</v>
      </c>
      <c r="AH4" s="8">
        <v>116861487000</v>
      </c>
      <c r="AI4" s="8">
        <v>113504069000</v>
      </c>
      <c r="AJ4" s="8">
        <v>118912472000</v>
      </c>
      <c r="AK4" s="8">
        <v>110550576000</v>
      </c>
      <c r="AL4" s="2" t="s">
        <v>129</v>
      </c>
      <c r="AM4" s="2" t="s">
        <v>129</v>
      </c>
      <c r="AN4" s="7">
        <v>6.6565527316189996</v>
      </c>
      <c r="AO4" s="7">
        <v>7.1163853111659998</v>
      </c>
      <c r="AP4" s="7">
        <v>6.4220156557579999</v>
      </c>
      <c r="AQ4" s="7">
        <v>7.4212394250329998</v>
      </c>
      <c r="AR4" s="7">
        <v>7.1315436125140002</v>
      </c>
      <c r="AS4" s="2" t="s">
        <v>129</v>
      </c>
      <c r="AT4" s="2" t="s">
        <v>129</v>
      </c>
      <c r="AU4" s="7">
        <v>51.514124000000002</v>
      </c>
      <c r="AV4" s="7">
        <v>55.450142</v>
      </c>
      <c r="AW4" s="7">
        <v>51.807763999999999</v>
      </c>
      <c r="AX4" s="7">
        <v>51.701306000000002</v>
      </c>
      <c r="AY4" s="7">
        <v>55.611435999999998</v>
      </c>
      <c r="AZ4" s="2" t="s">
        <v>129</v>
      </c>
      <c r="BA4" s="2" t="s">
        <v>129</v>
      </c>
      <c r="BB4" s="8">
        <v>4035402000</v>
      </c>
      <c r="BC4" s="8">
        <v>4484755000</v>
      </c>
      <c r="BD4" s="8">
        <v>4757119000</v>
      </c>
      <c r="BE4" s="8">
        <v>4375785000</v>
      </c>
      <c r="BF4" s="8">
        <v>4748455000</v>
      </c>
      <c r="BG4" s="2" t="s">
        <v>129</v>
      </c>
      <c r="BH4" s="2" t="s">
        <v>129</v>
      </c>
      <c r="BI4" s="8">
        <v>16632000</v>
      </c>
      <c r="BJ4" s="8">
        <v>781437000</v>
      </c>
      <c r="BK4" s="8">
        <v>-69055000</v>
      </c>
      <c r="BL4" s="8">
        <v>625447000</v>
      </c>
      <c r="BM4" s="8">
        <v>-1633063000</v>
      </c>
      <c r="BN4" s="2" t="s">
        <v>129</v>
      </c>
      <c r="BO4" s="2" t="s">
        <v>129</v>
      </c>
      <c r="BR4">
        <v>8.2901035540175212E-3</v>
      </c>
      <c r="BS4">
        <v>6.2017095503842084E-3</v>
      </c>
      <c r="BT4">
        <v>1.4755197895152112E-2</v>
      </c>
      <c r="BU4">
        <v>1.2053302533312065E-2</v>
      </c>
      <c r="BV4">
        <v>2.6758358997604859E-2</v>
      </c>
      <c r="BW4" t="e">
        <v>#VALUE!</v>
      </c>
      <c r="BX4" t="e">
        <v>#VALUE!</v>
      </c>
      <c r="BZ4">
        <v>0.68901512697959488</v>
      </c>
      <c r="CA4">
        <v>0.69960934864235036</v>
      </c>
      <c r="CB4">
        <v>0.70734563197729772</v>
      </c>
      <c r="CC4">
        <v>0.73763946568867633</v>
      </c>
      <c r="CD4">
        <v>0.65704215959925572</v>
      </c>
      <c r="CE4" t="e">
        <v>#VALUE!</v>
      </c>
      <c r="CF4" t="e">
        <v>#VALUE!</v>
      </c>
      <c r="CH4">
        <v>1.1317200263756062E-2</v>
      </c>
      <c r="CI4">
        <v>1.4887630499876492E-2</v>
      </c>
      <c r="CJ4">
        <v>1.5358864517008968E-2</v>
      </c>
      <c r="CK4">
        <v>1.4033765845695743E-2</v>
      </c>
      <c r="CL4">
        <v>1.5694542622074887E-2</v>
      </c>
      <c r="CM4" t="e">
        <v>#VALUE!</v>
      </c>
      <c r="CN4" t="e">
        <v>#VALUE!</v>
      </c>
    </row>
    <row r="5" spans="1:92" ht="36" customHeight="1" x14ac:dyDescent="0.3">
      <c r="A5" s="6" t="s">
        <v>130</v>
      </c>
      <c r="B5" s="1" t="s">
        <v>131</v>
      </c>
      <c r="C5" s="1" t="s">
        <v>123</v>
      </c>
      <c r="D5" s="2" t="s">
        <v>124</v>
      </c>
      <c r="E5" s="7">
        <v>-1.1956119999999999</v>
      </c>
      <c r="F5" s="7">
        <v>-0.78662500000000002</v>
      </c>
      <c r="G5" s="7">
        <v>0.20669899999999999</v>
      </c>
      <c r="H5" s="7">
        <v>-2.3960680000000001</v>
      </c>
      <c r="I5" s="7">
        <v>-2.0058769999999999</v>
      </c>
      <c r="J5" s="7">
        <v>0.22122900000000001</v>
      </c>
      <c r="K5" s="7">
        <v>-2.7955930000000002</v>
      </c>
      <c r="L5" s="7">
        <v>-24.018894</v>
      </c>
      <c r="M5" s="7">
        <v>-11.961061000000001</v>
      </c>
      <c r="N5" s="7">
        <v>2.8690730000000002</v>
      </c>
      <c r="O5" s="7">
        <v>-41.467177</v>
      </c>
      <c r="P5" s="7">
        <v>-40.183745000000002</v>
      </c>
      <c r="Q5" s="7">
        <v>4.9946710000000003</v>
      </c>
      <c r="R5" s="7">
        <v>-88.005405999999994</v>
      </c>
      <c r="S5" s="8">
        <v>150356103000</v>
      </c>
      <c r="T5" s="8">
        <v>132196007000</v>
      </c>
      <c r="U5" s="8">
        <v>130481006000</v>
      </c>
      <c r="V5" s="8">
        <v>139154192000</v>
      </c>
      <c r="W5" s="8">
        <v>153178466000</v>
      </c>
      <c r="X5" s="8">
        <v>169011977000</v>
      </c>
      <c r="Y5" s="8">
        <v>183443823000</v>
      </c>
      <c r="Z5" s="8">
        <v>749335000</v>
      </c>
      <c r="AA5" s="8">
        <v>603335000</v>
      </c>
      <c r="AB5" s="8">
        <v>607017000</v>
      </c>
      <c r="AC5" s="8">
        <v>5321703000</v>
      </c>
      <c r="AD5" s="8">
        <v>4467024000</v>
      </c>
      <c r="AE5" s="8">
        <v>1991084000</v>
      </c>
      <c r="AF5" s="8">
        <v>7821435000</v>
      </c>
      <c r="AG5" s="8">
        <v>83527741000</v>
      </c>
      <c r="AH5" s="8">
        <v>84858874000</v>
      </c>
      <c r="AI5" s="8">
        <v>83157707000</v>
      </c>
      <c r="AJ5" s="8">
        <v>81931570000</v>
      </c>
      <c r="AK5" s="8">
        <v>97838069000</v>
      </c>
      <c r="AL5" s="8">
        <v>106680407000</v>
      </c>
      <c r="AM5" s="8">
        <v>115533951000</v>
      </c>
      <c r="AN5" s="7">
        <v>3.8468548230459998</v>
      </c>
      <c r="AO5" s="7">
        <v>6.2640984307489997</v>
      </c>
      <c r="AP5" s="7">
        <v>6.8931113238039998</v>
      </c>
      <c r="AQ5" s="7">
        <v>7.4962700369100004</v>
      </c>
      <c r="AR5" s="7">
        <v>4.2174825017510003</v>
      </c>
      <c r="AS5" s="7">
        <v>5.6935053780239997</v>
      </c>
      <c r="AT5" s="7">
        <v>3.2645705383060002</v>
      </c>
      <c r="AU5" s="7">
        <v>59.419601</v>
      </c>
      <c r="AV5" s="7">
        <v>58.099401999999998</v>
      </c>
      <c r="AW5" s="7">
        <v>52.734267000000003</v>
      </c>
      <c r="AX5" s="7">
        <v>59.286563999999998</v>
      </c>
      <c r="AY5" s="7">
        <v>57.368001</v>
      </c>
      <c r="AZ5" s="7">
        <v>59.920163000000002</v>
      </c>
      <c r="BA5" s="7">
        <v>53.410603000000002</v>
      </c>
      <c r="BB5" s="8">
        <v>3133153000</v>
      </c>
      <c r="BC5" s="8">
        <v>3556880000</v>
      </c>
      <c r="BD5" s="8">
        <v>3636313000</v>
      </c>
      <c r="BE5" s="8">
        <v>4321367000</v>
      </c>
      <c r="BF5" s="8">
        <v>4696043000</v>
      </c>
      <c r="BG5" s="8">
        <v>5562565000</v>
      </c>
      <c r="BH5" s="8">
        <v>4581023000</v>
      </c>
      <c r="BI5" s="8">
        <v>-1689113000</v>
      </c>
      <c r="BJ5" s="8">
        <v>-1033142000</v>
      </c>
      <c r="BK5" s="8">
        <v>278667000</v>
      </c>
      <c r="BL5" s="8">
        <v>-3502245000</v>
      </c>
      <c r="BM5" s="8">
        <v>-3231372000</v>
      </c>
      <c r="BN5" s="8">
        <v>389868000</v>
      </c>
      <c r="BO5" s="8">
        <v>-5347267000</v>
      </c>
      <c r="BR5">
        <v>8.9710914126122487E-3</v>
      </c>
      <c r="BS5">
        <v>7.1098633715078524E-3</v>
      </c>
      <c r="BT5">
        <v>7.2995879985002475E-3</v>
      </c>
      <c r="BU5">
        <v>6.4953021161439972E-2</v>
      </c>
      <c r="BV5">
        <v>4.5657319749432095E-2</v>
      </c>
      <c r="BW5">
        <v>1.8664008284107879E-2</v>
      </c>
      <c r="BX5">
        <v>6.7698152208089904E-2</v>
      </c>
      <c r="BZ5">
        <v>0.55553276078191516</v>
      </c>
      <c r="CA5">
        <v>0.64191707394006237</v>
      </c>
      <c r="CB5">
        <v>0.6373165685126615</v>
      </c>
      <c r="CC5">
        <v>0.58878262179841478</v>
      </c>
      <c r="CD5">
        <v>0.63871947248773209</v>
      </c>
      <c r="CE5">
        <v>0.63120027878260954</v>
      </c>
      <c r="CF5">
        <v>0.62980562174611898</v>
      </c>
      <c r="CH5">
        <v>1.2381984995444647E-2</v>
      </c>
      <c r="CI5">
        <v>1.5632287667036719E-2</v>
      </c>
      <c r="CJ5">
        <v>1.4696261664136082E-2</v>
      </c>
      <c r="CK5">
        <v>1.8411159414657662E-2</v>
      </c>
      <c r="CL5">
        <v>1.7587498200957501E-2</v>
      </c>
      <c r="CM5">
        <v>1.9721075832282289E-2</v>
      </c>
      <c r="CN5">
        <v>1.3337881689636887E-2</v>
      </c>
    </row>
    <row r="6" spans="1:92" ht="36" customHeight="1" x14ac:dyDescent="0.3">
      <c r="A6" s="6" t="s">
        <v>132</v>
      </c>
      <c r="B6" s="1" t="s">
        <v>133</v>
      </c>
      <c r="C6" s="1" t="s">
        <v>123</v>
      </c>
      <c r="D6" s="2" t="s">
        <v>124</v>
      </c>
      <c r="E6" s="7">
        <v>0.31457499999999999</v>
      </c>
      <c r="F6" s="7">
        <v>0.52710199999999996</v>
      </c>
      <c r="G6" s="7">
        <v>0.62799000000000005</v>
      </c>
      <c r="H6" s="7">
        <v>0.25955</v>
      </c>
      <c r="I6" s="7">
        <v>2.5058E-2</v>
      </c>
      <c r="J6" s="7">
        <v>0.35965000000000003</v>
      </c>
      <c r="K6" s="7">
        <v>4.8656999999999999E-2</v>
      </c>
      <c r="L6" s="7">
        <v>4.657718</v>
      </c>
      <c r="M6" s="7">
        <v>7.7433750000000003</v>
      </c>
      <c r="N6" s="7">
        <v>8.4005930000000006</v>
      </c>
      <c r="O6" s="7">
        <v>3.1383079999999999</v>
      </c>
      <c r="P6" s="7">
        <v>0.28220400000000001</v>
      </c>
      <c r="Q6" s="7">
        <v>3.92821</v>
      </c>
      <c r="R6" s="7">
        <v>0.58269099999999996</v>
      </c>
      <c r="S6" s="8">
        <v>93050838000</v>
      </c>
      <c r="T6" s="8">
        <v>79033498000</v>
      </c>
      <c r="U6" s="8">
        <v>70634767000</v>
      </c>
      <c r="V6" s="8">
        <v>71338807000</v>
      </c>
      <c r="W6" s="8">
        <v>64960024000</v>
      </c>
      <c r="X6" s="8">
        <v>61261231000</v>
      </c>
      <c r="Y6" s="8">
        <v>60652920000</v>
      </c>
      <c r="Z6" s="8">
        <v>541877000</v>
      </c>
      <c r="AA6" s="8">
        <v>447547000</v>
      </c>
      <c r="AB6" s="8">
        <v>225772000</v>
      </c>
      <c r="AC6" s="8">
        <v>535975000</v>
      </c>
      <c r="AD6" s="8">
        <v>619750000</v>
      </c>
      <c r="AE6" s="8">
        <v>705799000</v>
      </c>
      <c r="AF6" s="8">
        <v>812734000</v>
      </c>
      <c r="AG6" s="8">
        <v>65554825000</v>
      </c>
      <c r="AH6" s="8">
        <v>59883692000</v>
      </c>
      <c r="AI6" s="8">
        <v>52544886000</v>
      </c>
      <c r="AJ6" s="8">
        <v>48355737000</v>
      </c>
      <c r="AK6" s="8">
        <v>45494179000</v>
      </c>
      <c r="AL6" s="8">
        <v>43702561000</v>
      </c>
      <c r="AM6" s="8">
        <v>43796788000</v>
      </c>
      <c r="AN6" s="7">
        <v>6.8035432415989998</v>
      </c>
      <c r="AO6" s="7">
        <v>6.6953217735599999</v>
      </c>
      <c r="AP6" s="7">
        <v>6.932234943169</v>
      </c>
      <c r="AQ6" s="7">
        <v>8.0134939739039996</v>
      </c>
      <c r="AR6" s="7">
        <v>8.5525106948849992</v>
      </c>
      <c r="AS6" s="7">
        <v>9.2257336454759997</v>
      </c>
      <c r="AT6" s="7">
        <v>9.0846920478019992</v>
      </c>
      <c r="AU6" s="7">
        <v>54.763737999999996</v>
      </c>
      <c r="AV6" s="7">
        <v>53.310513</v>
      </c>
      <c r="AW6" s="7">
        <v>50.613961000000003</v>
      </c>
      <c r="AX6" s="7">
        <v>48.903646000000002</v>
      </c>
      <c r="AY6" s="7">
        <v>47.286825999999998</v>
      </c>
      <c r="AZ6" s="7">
        <v>51.581601999999997</v>
      </c>
      <c r="BA6" s="7">
        <v>46.547367999999999</v>
      </c>
      <c r="BB6" s="8">
        <v>2738679000</v>
      </c>
      <c r="BC6" s="8">
        <v>2494221000</v>
      </c>
      <c r="BD6" s="8">
        <v>2272782000</v>
      </c>
      <c r="BE6" s="8">
        <v>2200703000</v>
      </c>
      <c r="BF6" s="8">
        <v>2220407000</v>
      </c>
      <c r="BG6" s="8">
        <v>2535278000</v>
      </c>
      <c r="BH6" s="8">
        <v>2416736000</v>
      </c>
      <c r="BI6" s="8">
        <v>270667000</v>
      </c>
      <c r="BJ6" s="8">
        <v>394452000</v>
      </c>
      <c r="BK6" s="8">
        <v>445790000</v>
      </c>
      <c r="BL6" s="8">
        <v>176882000</v>
      </c>
      <c r="BM6" s="8">
        <v>15814000</v>
      </c>
      <c r="BN6" s="8">
        <v>219232000</v>
      </c>
      <c r="BO6" s="8">
        <v>29781000</v>
      </c>
      <c r="BR6">
        <v>8.2660124559862675E-3</v>
      </c>
      <c r="BS6">
        <v>7.4736039988983977E-3</v>
      </c>
      <c r="BT6">
        <v>4.2967454530208702E-3</v>
      </c>
      <c r="BU6">
        <v>1.108400022938333E-2</v>
      </c>
      <c r="BV6">
        <v>1.362262191828981E-2</v>
      </c>
      <c r="BW6">
        <v>1.6150060404926843E-2</v>
      </c>
      <c r="BX6">
        <v>1.8556931617907689E-2</v>
      </c>
      <c r="BZ6">
        <v>0.70450547688780618</v>
      </c>
      <c r="CA6">
        <v>0.75770013368255573</v>
      </c>
      <c r="CB6">
        <v>0.74389550969991869</v>
      </c>
      <c r="CC6">
        <v>0.67783215101985095</v>
      </c>
      <c r="CD6">
        <v>0.70034116674587432</v>
      </c>
      <c r="CE6">
        <v>0.71338039224187322</v>
      </c>
      <c r="CF6">
        <v>0.72208869746089721</v>
      </c>
      <c r="CH6">
        <v>1.6118103011829081E-2</v>
      </c>
      <c r="CI6">
        <v>1.682428393152648E-2</v>
      </c>
      <c r="CJ6">
        <v>1.6285818499196296E-2</v>
      </c>
      <c r="CK6">
        <v>1.5086094790334525E-2</v>
      </c>
      <c r="CL6">
        <v>1.6163171284878528E-2</v>
      </c>
      <c r="CM6">
        <v>2.1346894050391509E-2</v>
      </c>
      <c r="CN6">
        <v>1.8546955356947038E-2</v>
      </c>
    </row>
    <row r="7" spans="1:92" ht="36" customHeight="1" x14ac:dyDescent="0.3">
      <c r="A7" s="6" t="s">
        <v>134</v>
      </c>
      <c r="B7" s="1" t="s">
        <v>135</v>
      </c>
      <c r="C7" s="1" t="s">
        <v>123</v>
      </c>
      <c r="D7" s="2" t="s">
        <v>124</v>
      </c>
      <c r="E7" s="7">
        <v>0.765204</v>
      </c>
      <c r="F7" s="7">
        <v>1.097621</v>
      </c>
      <c r="G7" s="7">
        <v>1.215762</v>
      </c>
      <c r="H7" s="7">
        <v>1.058359</v>
      </c>
      <c r="I7" s="7">
        <v>0.86475400000000002</v>
      </c>
      <c r="J7" s="7">
        <v>0.83987500000000004</v>
      </c>
      <c r="K7" s="7">
        <v>0.64389399999999997</v>
      </c>
      <c r="L7" s="7">
        <v>6.1248570000000004</v>
      </c>
      <c r="M7" s="7">
        <v>8.4173419999999997</v>
      </c>
      <c r="N7" s="7">
        <v>9.1707049999999999</v>
      </c>
      <c r="O7" s="7">
        <v>8.1955299999999998</v>
      </c>
      <c r="P7" s="7">
        <v>6.8313889999999997</v>
      </c>
      <c r="Q7" s="7">
        <v>7.0535779999999999</v>
      </c>
      <c r="R7" s="7">
        <v>6.1966710000000003</v>
      </c>
      <c r="S7" s="8">
        <v>78949665000</v>
      </c>
      <c r="T7" s="8">
        <v>78244729000</v>
      </c>
      <c r="U7" s="8">
        <v>72300522000</v>
      </c>
      <c r="V7" s="8">
        <v>70445564000</v>
      </c>
      <c r="W7" s="8">
        <v>69818605000</v>
      </c>
      <c r="X7" s="8">
        <v>70710618000</v>
      </c>
      <c r="Y7" s="8">
        <v>70463988000</v>
      </c>
      <c r="Z7" s="8">
        <v>397559000</v>
      </c>
      <c r="AA7" s="8">
        <v>209511000</v>
      </c>
      <c r="AB7" s="8">
        <v>209231000</v>
      </c>
      <c r="AC7" s="8">
        <v>285823000</v>
      </c>
      <c r="AD7" s="8">
        <v>398713000</v>
      </c>
      <c r="AE7" s="8">
        <v>469450000</v>
      </c>
      <c r="AF7" s="8">
        <v>682325000</v>
      </c>
      <c r="AG7" s="8">
        <v>49080121000</v>
      </c>
      <c r="AH7" s="8">
        <v>46104434000</v>
      </c>
      <c r="AI7" s="8">
        <v>40531479000</v>
      </c>
      <c r="AJ7" s="8">
        <v>38085581000</v>
      </c>
      <c r="AK7" s="8">
        <v>34314406000</v>
      </c>
      <c r="AL7" s="8">
        <v>33432615000</v>
      </c>
      <c r="AM7" s="8">
        <v>32045870000</v>
      </c>
      <c r="AN7" s="7">
        <v>12.337066914723</v>
      </c>
      <c r="AO7" s="7">
        <v>12.651184465089999</v>
      </c>
      <c r="AP7" s="7">
        <v>13.460767268043</v>
      </c>
      <c r="AQ7" s="7">
        <v>13.047893264081001</v>
      </c>
      <c r="AR7" s="7">
        <v>12.77860822341</v>
      </c>
      <c r="AS7" s="7">
        <v>12.539980912060001</v>
      </c>
      <c r="AT7" s="7">
        <v>11.271954973652999</v>
      </c>
      <c r="AU7" s="7">
        <v>38.252149000000003</v>
      </c>
      <c r="AV7" s="7">
        <v>38.141765999999997</v>
      </c>
      <c r="AW7" s="7">
        <v>40.380938999999998</v>
      </c>
      <c r="AX7" s="7">
        <v>46.516914999999997</v>
      </c>
      <c r="AY7" s="7">
        <v>38.247978000000003</v>
      </c>
      <c r="AZ7" s="7">
        <v>41.793869999999998</v>
      </c>
      <c r="BA7" s="7">
        <v>42.177208999999998</v>
      </c>
      <c r="BB7" s="8">
        <v>2334810000</v>
      </c>
      <c r="BC7" s="8">
        <v>2270026000</v>
      </c>
      <c r="BD7" s="8">
        <v>2291284000</v>
      </c>
      <c r="BE7" s="8">
        <v>2388658000</v>
      </c>
      <c r="BF7" s="8">
        <v>1944074000</v>
      </c>
      <c r="BG7" s="8">
        <v>1962874000</v>
      </c>
      <c r="BH7" s="8">
        <v>1834799000</v>
      </c>
      <c r="BI7" s="8">
        <v>601429000</v>
      </c>
      <c r="BJ7" s="8">
        <v>826208000</v>
      </c>
      <c r="BK7" s="8">
        <v>867726000</v>
      </c>
      <c r="BL7" s="8">
        <v>742249000</v>
      </c>
      <c r="BM7" s="8">
        <v>607616000</v>
      </c>
      <c r="BN7" s="8">
        <v>592845000</v>
      </c>
      <c r="BO7" s="8">
        <v>461367000</v>
      </c>
      <c r="BR7">
        <v>8.1002041539384138E-3</v>
      </c>
      <c r="BS7">
        <v>4.5442700804005096E-3</v>
      </c>
      <c r="BT7">
        <v>5.1621851746391986E-3</v>
      </c>
      <c r="BU7">
        <v>7.5047561963148208E-3</v>
      </c>
      <c r="BV7">
        <v>1.1619405563948856E-2</v>
      </c>
      <c r="BW7">
        <v>1.4041677565455169E-2</v>
      </c>
      <c r="BX7">
        <v>2.1292135304799027E-2</v>
      </c>
      <c r="BZ7">
        <v>0.62166344847695043</v>
      </c>
      <c r="CA7">
        <v>0.58923373611531071</v>
      </c>
      <c r="CB7">
        <v>0.56059732182846478</v>
      </c>
      <c r="CC7">
        <v>0.54063845666705146</v>
      </c>
      <c r="CD7">
        <v>0.49147939865025947</v>
      </c>
      <c r="CE7">
        <v>0.47280897757109125</v>
      </c>
      <c r="CF7">
        <v>0.45478365487914196</v>
      </c>
      <c r="CH7">
        <v>1.1312460921359197E-2</v>
      </c>
      <c r="CI7">
        <v>1.1065640026169174E-2</v>
      </c>
      <c r="CJ7">
        <v>1.2797168938237541E-2</v>
      </c>
      <c r="CK7">
        <v>1.577288829003768E-2</v>
      </c>
      <c r="CL7">
        <v>1.065001221126833E-2</v>
      </c>
      <c r="CM7">
        <v>1.1601666496873213E-2</v>
      </c>
      <c r="CN7">
        <v>1.0982446933885009E-2</v>
      </c>
    </row>
    <row r="8" spans="1:92" ht="36" customHeight="1" x14ac:dyDescent="0.3">
      <c r="A8" s="6" t="s">
        <v>136</v>
      </c>
      <c r="B8" s="1" t="s">
        <v>137</v>
      </c>
      <c r="C8" s="1" t="s">
        <v>123</v>
      </c>
      <c r="D8" s="2" t="s">
        <v>138</v>
      </c>
      <c r="E8" s="2" t="s">
        <v>129</v>
      </c>
      <c r="F8" s="2" t="s">
        <v>129</v>
      </c>
      <c r="G8" s="7">
        <v>0.375388</v>
      </c>
      <c r="H8" s="7">
        <v>0.18810199999999999</v>
      </c>
      <c r="I8" s="7">
        <v>0.159442</v>
      </c>
      <c r="J8" s="7">
        <v>2.2324E-2</v>
      </c>
      <c r="K8" s="7">
        <v>-0.13428999999999999</v>
      </c>
      <c r="L8" s="2" t="s">
        <v>129</v>
      </c>
      <c r="M8" s="2" t="s">
        <v>129</v>
      </c>
      <c r="N8" s="7">
        <v>5.4155730000000002</v>
      </c>
      <c r="O8" s="7">
        <v>2.6035759999999999</v>
      </c>
      <c r="P8" s="7">
        <v>2.2168559999999999</v>
      </c>
      <c r="Q8" s="7">
        <v>0.31437100000000001</v>
      </c>
      <c r="R8" s="7">
        <v>-1.9948980000000001</v>
      </c>
      <c r="S8" s="2" t="s">
        <v>129</v>
      </c>
      <c r="T8" s="2" t="s">
        <v>129</v>
      </c>
      <c r="U8" s="8">
        <v>81202937000</v>
      </c>
      <c r="V8" s="8">
        <v>78933038000</v>
      </c>
      <c r="W8" s="8">
        <v>79049411000</v>
      </c>
      <c r="X8" s="8">
        <v>77494458000</v>
      </c>
      <c r="Y8" s="8">
        <v>80330141000</v>
      </c>
      <c r="Z8" s="2" t="s">
        <v>129</v>
      </c>
      <c r="AA8" s="2" t="s">
        <v>129</v>
      </c>
      <c r="AB8" s="8">
        <v>453897000</v>
      </c>
      <c r="AC8" s="8">
        <v>538836000</v>
      </c>
      <c r="AD8" s="8">
        <v>611447000</v>
      </c>
      <c r="AE8" s="8">
        <v>777118000</v>
      </c>
      <c r="AF8" s="8">
        <v>1022667000</v>
      </c>
      <c r="AG8" s="2" t="s">
        <v>129</v>
      </c>
      <c r="AH8" s="2" t="s">
        <v>129</v>
      </c>
      <c r="AI8" s="8">
        <v>65351380000</v>
      </c>
      <c r="AJ8" s="8">
        <v>61224687000</v>
      </c>
      <c r="AK8" s="8">
        <v>61267605000</v>
      </c>
      <c r="AL8" s="8">
        <v>60523205000</v>
      </c>
      <c r="AM8" s="8">
        <v>61998200000</v>
      </c>
      <c r="AN8" s="2" t="s">
        <v>129</v>
      </c>
      <c r="AO8" s="2" t="s">
        <v>129</v>
      </c>
      <c r="AP8" s="7">
        <v>6.5222419233429996</v>
      </c>
      <c r="AQ8" s="7">
        <v>7.3528273420819996</v>
      </c>
      <c r="AR8" s="7">
        <v>7.0968624927519999</v>
      </c>
      <c r="AS8" s="7">
        <v>7.2895264329740002</v>
      </c>
      <c r="AT8" s="7">
        <v>6.9191612647609997</v>
      </c>
      <c r="AU8" s="2" t="s">
        <v>129</v>
      </c>
      <c r="AV8" s="2" t="s">
        <v>129</v>
      </c>
      <c r="AW8" s="7">
        <v>43.907567</v>
      </c>
      <c r="AX8" s="7">
        <v>45.420096000000001</v>
      </c>
      <c r="AY8" s="7">
        <v>43.778270999999997</v>
      </c>
      <c r="AZ8" s="7">
        <v>41.587612</v>
      </c>
      <c r="BA8" s="7">
        <v>37.645774000000003</v>
      </c>
      <c r="BB8" s="2" t="s">
        <v>129</v>
      </c>
      <c r="BC8" s="2" t="s">
        <v>129</v>
      </c>
      <c r="BD8" s="8">
        <v>2550098000</v>
      </c>
      <c r="BE8" s="8">
        <v>2587729000</v>
      </c>
      <c r="BF8" s="8">
        <v>2606880000</v>
      </c>
      <c r="BG8" s="8">
        <v>2679269000</v>
      </c>
      <c r="BH8" s="8">
        <v>2756227000</v>
      </c>
      <c r="BI8" s="2" t="s">
        <v>129</v>
      </c>
      <c r="BJ8" s="2" t="s">
        <v>129</v>
      </c>
      <c r="BK8" s="8">
        <v>300566000</v>
      </c>
      <c r="BL8" s="8">
        <v>148584000</v>
      </c>
      <c r="BM8" s="8">
        <v>124798000</v>
      </c>
      <c r="BN8" s="8">
        <v>17616000</v>
      </c>
      <c r="BO8" s="8">
        <v>-111016000</v>
      </c>
      <c r="BR8" t="e">
        <v>#VALUE!</v>
      </c>
      <c r="BS8" t="e">
        <v>#VALUE!</v>
      </c>
      <c r="BT8">
        <v>6.9454845482987502E-3</v>
      </c>
      <c r="BU8">
        <v>8.8009596521089611E-3</v>
      </c>
      <c r="BV8">
        <v>9.9799396434706398E-3</v>
      </c>
      <c r="BW8">
        <v>1.2840000789779722E-2</v>
      </c>
      <c r="BX8">
        <v>1.6495107922488074E-2</v>
      </c>
      <c r="BZ8" t="e">
        <v>#VALUE!</v>
      </c>
      <c r="CA8" t="e">
        <v>#VALUE!</v>
      </c>
      <c r="CB8">
        <v>0.80479084149382429</v>
      </c>
      <c r="CC8">
        <v>0.77565349758867763</v>
      </c>
      <c r="CD8">
        <v>0.77505454151960729</v>
      </c>
      <c r="CE8">
        <v>0.78100042973395589</v>
      </c>
      <c r="CF8">
        <v>0.77179249567108321</v>
      </c>
      <c r="CH8" t="e">
        <v>#VALUE!</v>
      </c>
      <c r="CI8" t="e">
        <v>#VALUE!</v>
      </c>
      <c r="CJ8">
        <v>1.3788737566421521E-2</v>
      </c>
      <c r="CK8">
        <v>1.4890456845457286E-2</v>
      </c>
      <c r="CL8">
        <v>1.4437134655497936E-2</v>
      </c>
      <c r="CM8">
        <v>1.4378370078493614E-2</v>
      </c>
      <c r="CN8">
        <v>1.2916733052254697E-2</v>
      </c>
    </row>
    <row r="9" spans="1:92" ht="36" customHeight="1" x14ac:dyDescent="0.3">
      <c r="A9" s="6" t="s">
        <v>139</v>
      </c>
      <c r="B9" s="1" t="s">
        <v>140</v>
      </c>
      <c r="C9" s="1" t="s">
        <v>123</v>
      </c>
      <c r="D9" s="2" t="s">
        <v>124</v>
      </c>
      <c r="E9" s="7">
        <v>0.77260600000000001</v>
      </c>
      <c r="F9" s="7">
        <v>1.1217550000000001</v>
      </c>
      <c r="G9" s="7">
        <v>0.56422499999999998</v>
      </c>
      <c r="H9" s="7">
        <v>0.89160099999999998</v>
      </c>
      <c r="I9" s="7">
        <v>0.90798400000000001</v>
      </c>
      <c r="J9" s="7">
        <v>1.0053240000000001</v>
      </c>
      <c r="K9" s="7">
        <v>1.0115099999999999</v>
      </c>
      <c r="L9" s="7">
        <v>17.099269</v>
      </c>
      <c r="M9" s="7">
        <v>25.677516000000001</v>
      </c>
      <c r="N9" s="7">
        <v>11.977706</v>
      </c>
      <c r="O9" s="7">
        <v>17.433077000000001</v>
      </c>
      <c r="P9" s="7">
        <v>18.647055999999999</v>
      </c>
      <c r="Q9" s="7">
        <v>22.588640000000002</v>
      </c>
      <c r="R9" s="7">
        <v>21.411459000000001</v>
      </c>
      <c r="S9" s="8">
        <v>59029046000</v>
      </c>
      <c r="T9" s="8">
        <v>53437634000</v>
      </c>
      <c r="U9" s="8">
        <v>47374365000</v>
      </c>
      <c r="V9" s="8">
        <v>43266786000</v>
      </c>
      <c r="W9" s="8">
        <v>41971360000</v>
      </c>
      <c r="X9" s="8">
        <v>44710171000</v>
      </c>
      <c r="Y9" s="8">
        <v>42547855000</v>
      </c>
      <c r="Z9" s="8">
        <v>22771000</v>
      </c>
      <c r="AA9" s="8">
        <v>19797000</v>
      </c>
      <c r="AB9" s="8">
        <v>14995000</v>
      </c>
      <c r="AC9" s="8">
        <v>13708000</v>
      </c>
      <c r="AD9" s="8">
        <v>11020000</v>
      </c>
      <c r="AE9" s="8">
        <v>13164000</v>
      </c>
      <c r="AF9" s="8">
        <v>17254000</v>
      </c>
      <c r="AG9" s="8">
        <v>28104309000</v>
      </c>
      <c r="AH9" s="8">
        <v>24586998000</v>
      </c>
      <c r="AI9" s="8">
        <v>21469002000</v>
      </c>
      <c r="AJ9" s="8">
        <v>9324185000</v>
      </c>
      <c r="AK9" s="8">
        <v>7823636000</v>
      </c>
      <c r="AL9" s="8">
        <v>7430643000</v>
      </c>
      <c r="AM9" s="8">
        <v>6597628000</v>
      </c>
      <c r="AN9" s="7">
        <v>4.6392940180669999</v>
      </c>
      <c r="AO9" s="7">
        <v>4.384761870258</v>
      </c>
      <c r="AP9" s="7">
        <v>4.3504308712109996</v>
      </c>
      <c r="AQ9" s="7">
        <v>5.1050175069619996</v>
      </c>
      <c r="AR9" s="7">
        <v>5.1241132048139999</v>
      </c>
      <c r="AS9" s="7">
        <v>4.6301209628570001</v>
      </c>
      <c r="AT9" s="7">
        <v>4.2619022745089996</v>
      </c>
      <c r="AU9" s="7">
        <v>74.470411999999996</v>
      </c>
      <c r="AV9" s="7">
        <v>79.685582999999994</v>
      </c>
      <c r="AW9" s="7">
        <v>77.198189999999997</v>
      </c>
      <c r="AX9" s="7">
        <v>77.993606999999997</v>
      </c>
      <c r="AY9" s="7">
        <v>73.731565000000003</v>
      </c>
      <c r="AZ9" s="7">
        <v>72.870632000000001</v>
      </c>
      <c r="BA9" s="7">
        <v>67.370624000000007</v>
      </c>
      <c r="BB9" s="8">
        <v>1249699000</v>
      </c>
      <c r="BC9" s="8">
        <v>1502337000</v>
      </c>
      <c r="BD9" s="8">
        <v>1011946000</v>
      </c>
      <c r="BE9" s="8">
        <v>1030546000</v>
      </c>
      <c r="BF9" s="8">
        <v>1056302000</v>
      </c>
      <c r="BG9" s="8">
        <v>1172202000</v>
      </c>
      <c r="BH9" s="8">
        <v>1013130000</v>
      </c>
      <c r="BI9" s="8">
        <v>434462000</v>
      </c>
      <c r="BJ9" s="8">
        <v>565432000</v>
      </c>
      <c r="BK9" s="8">
        <v>255710000</v>
      </c>
      <c r="BL9" s="8">
        <v>379992000</v>
      </c>
      <c r="BM9" s="8">
        <v>393527000</v>
      </c>
      <c r="BN9" s="8">
        <v>438613000</v>
      </c>
      <c r="BO9" s="8">
        <v>320617000</v>
      </c>
      <c r="BR9">
        <v>8.1023162675872946E-4</v>
      </c>
      <c r="BS9">
        <v>8.0518166552907356E-4</v>
      </c>
      <c r="BT9">
        <v>6.9844886129313323E-4</v>
      </c>
      <c r="BU9">
        <v>1.4701553004364456E-3</v>
      </c>
      <c r="BV9">
        <v>1.408552238371008E-3</v>
      </c>
      <c r="BW9">
        <v>1.7715828899329438E-3</v>
      </c>
      <c r="BX9">
        <v>2.6151823049132203E-3</v>
      </c>
      <c r="BZ9">
        <v>0.47610982904924465</v>
      </c>
      <c r="CA9">
        <v>0.46010641114836781</v>
      </c>
      <c r="CB9">
        <v>0.45317762042826326</v>
      </c>
      <c r="CC9">
        <v>0.21550445184442404</v>
      </c>
      <c r="CD9">
        <v>0.18640415750168687</v>
      </c>
      <c r="CE9">
        <v>0.16619580810818191</v>
      </c>
      <c r="CF9">
        <v>0.15506370415147838</v>
      </c>
      <c r="CH9">
        <v>1.576606869201105E-2</v>
      </c>
      <c r="CI9">
        <v>2.2402675931997847E-2</v>
      </c>
      <c r="CJ9">
        <v>1.6490015133235031E-2</v>
      </c>
      <c r="CK9">
        <v>1.8576836217837393E-2</v>
      </c>
      <c r="CL9">
        <v>1.8556177253400891E-2</v>
      </c>
      <c r="CM9">
        <v>1.9105071320721183E-2</v>
      </c>
      <c r="CN9">
        <v>1.6041983853973367E-2</v>
      </c>
    </row>
    <row r="10" spans="1:92" ht="36" customHeight="1" x14ac:dyDescent="0.3">
      <c r="A10" s="6" t="s">
        <v>141</v>
      </c>
      <c r="B10" s="1" t="s">
        <v>142</v>
      </c>
      <c r="C10" s="1" t="s">
        <v>123</v>
      </c>
      <c r="D10" s="2" t="s">
        <v>124</v>
      </c>
      <c r="E10" s="7">
        <v>0.38689800000000002</v>
      </c>
      <c r="F10" s="7">
        <v>0.44342399999999998</v>
      </c>
      <c r="G10" s="7">
        <v>0.44048199999999998</v>
      </c>
      <c r="H10" s="7">
        <v>0.459615</v>
      </c>
      <c r="I10" s="7">
        <v>0.34260600000000002</v>
      </c>
      <c r="J10" s="7">
        <v>0.45997700000000002</v>
      </c>
      <c r="K10" s="7">
        <v>0.45791100000000001</v>
      </c>
      <c r="L10" s="7">
        <v>6.7043749999999998</v>
      </c>
      <c r="M10" s="7">
        <v>7.378425</v>
      </c>
      <c r="N10" s="7">
        <v>7.1461329999999998</v>
      </c>
      <c r="O10" s="7">
        <v>7.277577</v>
      </c>
      <c r="P10" s="7">
        <v>5.327026</v>
      </c>
      <c r="Q10" s="7">
        <v>6.8434410000000003</v>
      </c>
      <c r="R10" s="7">
        <v>6.700971</v>
      </c>
      <c r="S10" s="8">
        <v>56650245000</v>
      </c>
      <c r="T10" s="8">
        <v>47629986000</v>
      </c>
      <c r="U10" s="8">
        <v>43168088000</v>
      </c>
      <c r="V10" s="8">
        <v>41584596000</v>
      </c>
      <c r="W10" s="8">
        <v>39569033000</v>
      </c>
      <c r="X10" s="8">
        <v>37455301000</v>
      </c>
      <c r="Y10" s="8">
        <v>34794341000</v>
      </c>
      <c r="Z10" s="8">
        <v>103944000</v>
      </c>
      <c r="AA10" s="8">
        <v>62835000</v>
      </c>
      <c r="AB10" s="8">
        <v>64169000</v>
      </c>
      <c r="AC10" s="8">
        <v>80462000</v>
      </c>
      <c r="AD10" s="8">
        <v>79451000</v>
      </c>
      <c r="AE10" s="8">
        <v>114384000</v>
      </c>
      <c r="AF10" s="8">
        <v>116846000</v>
      </c>
      <c r="AG10" s="8">
        <v>34363104000</v>
      </c>
      <c r="AH10" s="8">
        <v>29653278000</v>
      </c>
      <c r="AI10" s="8">
        <v>27795788000</v>
      </c>
      <c r="AJ10" s="8">
        <v>24720052000</v>
      </c>
      <c r="AK10" s="8">
        <v>23687361000</v>
      </c>
      <c r="AL10" s="8">
        <v>22649394000</v>
      </c>
      <c r="AM10" s="8">
        <v>21508418000</v>
      </c>
      <c r="AN10" s="7">
        <v>5.5322514492210004</v>
      </c>
      <c r="AO10" s="7">
        <v>6.054585025492</v>
      </c>
      <c r="AP10" s="7">
        <v>5.9602408149280004</v>
      </c>
      <c r="AQ10" s="7">
        <v>6.3753462940940002</v>
      </c>
      <c r="AR10" s="7">
        <v>6.252586460731</v>
      </c>
      <c r="AS10" s="7">
        <v>6.6204460618269998</v>
      </c>
      <c r="AT10" s="7">
        <v>6.8301451664219996</v>
      </c>
      <c r="AU10" s="7">
        <v>59.666353000000001</v>
      </c>
      <c r="AV10" s="7">
        <v>60.201168000000003</v>
      </c>
      <c r="AW10" s="7">
        <v>61.793731999999999</v>
      </c>
      <c r="AX10" s="7">
        <v>57.416331999999997</v>
      </c>
      <c r="AY10" s="7">
        <v>58.990530999999997</v>
      </c>
      <c r="AZ10" s="7">
        <v>60.738684999999997</v>
      </c>
      <c r="BA10" s="7">
        <v>52.417673000000001</v>
      </c>
      <c r="BB10" s="8">
        <v>1314741000</v>
      </c>
      <c r="BC10" s="8">
        <v>1325657000</v>
      </c>
      <c r="BD10" s="8">
        <v>1275720000</v>
      </c>
      <c r="BE10" s="8">
        <v>1264520000</v>
      </c>
      <c r="BF10" s="8">
        <v>1225417000</v>
      </c>
      <c r="BG10" s="8">
        <v>1238904000</v>
      </c>
      <c r="BH10" s="8">
        <v>1170340000</v>
      </c>
      <c r="BI10" s="8">
        <v>201729000</v>
      </c>
      <c r="BJ10" s="8">
        <v>201310000</v>
      </c>
      <c r="BK10" s="8">
        <v>186660000</v>
      </c>
      <c r="BL10" s="8">
        <v>186497000</v>
      </c>
      <c r="BM10" s="8">
        <v>131945000</v>
      </c>
      <c r="BN10" s="8">
        <v>166166000</v>
      </c>
      <c r="BO10" s="8">
        <v>151855000</v>
      </c>
      <c r="BR10">
        <v>3.0248722583384783E-3</v>
      </c>
      <c r="BS10">
        <v>2.1189900152016922E-3</v>
      </c>
      <c r="BT10">
        <v>2.3085871859434243E-3</v>
      </c>
      <c r="BU10">
        <v>3.2549284281440834E-3</v>
      </c>
      <c r="BV10">
        <v>3.3541516085308109E-3</v>
      </c>
      <c r="BW10">
        <v>5.0502013431352735E-3</v>
      </c>
      <c r="BX10">
        <v>5.4325706335073085E-3</v>
      </c>
      <c r="BZ10">
        <v>0.60658350197779376</v>
      </c>
      <c r="CA10">
        <v>0.62257582859671634</v>
      </c>
      <c r="CB10">
        <v>0.6438966673715083</v>
      </c>
      <c r="CC10">
        <v>0.5944521379984069</v>
      </c>
      <c r="CD10">
        <v>0.59863381043453856</v>
      </c>
      <c r="CE10">
        <v>0.6047046317956436</v>
      </c>
      <c r="CF10">
        <v>0.61815851031637592</v>
      </c>
      <c r="CH10">
        <v>1.3847389470173166E-2</v>
      </c>
      <c r="CI10">
        <v>1.6755432127856601E-2</v>
      </c>
      <c r="CJ10">
        <v>1.8261522212204534E-2</v>
      </c>
      <c r="CK10">
        <v>1.745937369227778E-2</v>
      </c>
      <c r="CL10">
        <v>1.8268831468898166E-2</v>
      </c>
      <c r="CM10">
        <v>2.0090453898966128E-2</v>
      </c>
      <c r="CN10">
        <v>1.763117152263927E-2</v>
      </c>
    </row>
    <row r="11" spans="1:92" ht="36" customHeight="1" x14ac:dyDescent="0.3">
      <c r="A11" s="6" t="s">
        <v>143</v>
      </c>
      <c r="B11" s="1" t="s">
        <v>144</v>
      </c>
      <c r="C11" s="1" t="s">
        <v>123</v>
      </c>
      <c r="D11" s="2" t="s">
        <v>124</v>
      </c>
      <c r="E11" s="7">
        <v>0.241316</v>
      </c>
      <c r="F11" s="7">
        <v>0.33904600000000001</v>
      </c>
      <c r="G11" s="7">
        <v>0.27542699999999998</v>
      </c>
      <c r="H11" s="7">
        <v>0.41910900000000001</v>
      </c>
      <c r="I11" s="7">
        <v>0.27461099999999999</v>
      </c>
      <c r="J11" s="7">
        <v>0.38647199999999998</v>
      </c>
      <c r="K11" s="7">
        <v>0.36638199999999999</v>
      </c>
      <c r="L11" s="7">
        <v>3.6383960000000002</v>
      </c>
      <c r="M11" s="7">
        <v>4.9104590000000004</v>
      </c>
      <c r="N11" s="7">
        <v>4.1340130000000004</v>
      </c>
      <c r="O11" s="7">
        <v>6.0874949999999997</v>
      </c>
      <c r="P11" s="7">
        <v>3.763944</v>
      </c>
      <c r="Q11" s="7">
        <v>5.3510799999999996</v>
      </c>
      <c r="R11" s="7">
        <v>5.5664699999999998</v>
      </c>
      <c r="S11" s="8">
        <v>49807597000</v>
      </c>
      <c r="T11" s="8">
        <v>41146189000</v>
      </c>
      <c r="U11" s="8">
        <v>41128185000</v>
      </c>
      <c r="V11" s="8">
        <v>41624654000</v>
      </c>
      <c r="W11" s="8">
        <v>37201570000</v>
      </c>
      <c r="X11" s="8">
        <v>35537648000</v>
      </c>
      <c r="Y11" s="8">
        <v>35618847000</v>
      </c>
      <c r="Z11" s="8">
        <v>141391000</v>
      </c>
      <c r="AA11" s="8">
        <v>214073000</v>
      </c>
      <c r="AB11" s="8">
        <v>241283000</v>
      </c>
      <c r="AC11" s="8">
        <v>231732000</v>
      </c>
      <c r="AD11" s="8">
        <v>250121000</v>
      </c>
      <c r="AE11" s="8">
        <v>389983000</v>
      </c>
      <c r="AF11" s="8">
        <v>464084000</v>
      </c>
      <c r="AG11" s="8">
        <v>35827771000</v>
      </c>
      <c r="AH11" s="8">
        <v>32293715000</v>
      </c>
      <c r="AI11" s="8">
        <v>30539245000</v>
      </c>
      <c r="AJ11" s="8">
        <v>24534234000</v>
      </c>
      <c r="AK11" s="8">
        <v>24614527000</v>
      </c>
      <c r="AL11" s="8">
        <v>23290483000</v>
      </c>
      <c r="AM11" s="8">
        <v>23424420000</v>
      </c>
      <c r="AN11" s="7">
        <v>6.2152647115260002</v>
      </c>
      <c r="AO11" s="7">
        <v>7.1375261509639998</v>
      </c>
      <c r="AP11" s="7">
        <v>6.671510060558</v>
      </c>
      <c r="AQ11" s="7">
        <v>6.6535399909870003</v>
      </c>
      <c r="AR11" s="7">
        <v>7.1434646440999998</v>
      </c>
      <c r="AS11" s="7">
        <v>7.4553386313020003</v>
      </c>
      <c r="AT11" s="7">
        <v>6.9898304119730001</v>
      </c>
      <c r="AU11" s="7">
        <v>45.022568</v>
      </c>
      <c r="AV11" s="7">
        <v>53.283332999999999</v>
      </c>
      <c r="AW11" s="7">
        <v>45.954610000000002</v>
      </c>
      <c r="AX11" s="7">
        <v>52.923484999999999</v>
      </c>
      <c r="AY11" s="7">
        <v>50.753264999999999</v>
      </c>
      <c r="AZ11" s="7">
        <v>52.629285000000003</v>
      </c>
      <c r="BA11" s="7">
        <v>49.634225000000001</v>
      </c>
      <c r="BB11" s="8">
        <v>891293000</v>
      </c>
      <c r="BC11" s="8">
        <v>985462000</v>
      </c>
      <c r="BD11" s="8">
        <v>940206000</v>
      </c>
      <c r="BE11" s="8">
        <v>1040693000</v>
      </c>
      <c r="BF11" s="8">
        <v>963008000</v>
      </c>
      <c r="BG11" s="8">
        <v>1147061000</v>
      </c>
      <c r="BH11" s="8">
        <v>1173263000</v>
      </c>
      <c r="BI11" s="8">
        <v>109743000</v>
      </c>
      <c r="BJ11" s="8">
        <v>139474000</v>
      </c>
      <c r="BK11" s="8">
        <v>113962000</v>
      </c>
      <c r="BL11" s="8">
        <v>165184000</v>
      </c>
      <c r="BM11" s="8">
        <v>99875000</v>
      </c>
      <c r="BN11" s="8">
        <v>137500000</v>
      </c>
      <c r="BO11" s="8">
        <v>125282000</v>
      </c>
      <c r="BR11">
        <v>3.9464079414820424E-3</v>
      </c>
      <c r="BS11">
        <v>6.6289369309167432E-3</v>
      </c>
      <c r="BT11">
        <v>7.9007519668544517E-3</v>
      </c>
      <c r="BU11">
        <v>9.4452510724402482E-3</v>
      </c>
      <c r="BV11">
        <v>1.0161519658695859E-2</v>
      </c>
      <c r="BW11">
        <v>1.6744307106039837E-2</v>
      </c>
      <c r="BX11">
        <v>1.9811973999783131E-2</v>
      </c>
      <c r="BZ11">
        <v>0.71932341967832736</v>
      </c>
      <c r="CA11">
        <v>0.78485312455061151</v>
      </c>
      <c r="CB11">
        <v>0.74253811589303054</v>
      </c>
      <c r="CC11">
        <v>0.58941592643628937</v>
      </c>
      <c r="CD11">
        <v>0.66165290873476579</v>
      </c>
      <c r="CE11">
        <v>0.65537491395041114</v>
      </c>
      <c r="CF11">
        <v>0.65764116396019223</v>
      </c>
      <c r="CH11">
        <v>8.0566624606330638E-3</v>
      </c>
      <c r="CI11">
        <v>1.2761497767106937E-2</v>
      </c>
      <c r="CJ11">
        <v>1.0505399168395105E-2</v>
      </c>
      <c r="CK11">
        <v>1.3231845813085917E-2</v>
      </c>
      <c r="CL11">
        <v>1.3138101489028555E-2</v>
      </c>
      <c r="CM11">
        <v>1.69873370014203E-2</v>
      </c>
      <c r="CN11">
        <v>1.6349209654701904E-2</v>
      </c>
    </row>
    <row r="12" spans="1:92" ht="36" customHeight="1" x14ac:dyDescent="0.3">
      <c r="A12" s="6" t="s">
        <v>145</v>
      </c>
      <c r="B12" s="1" t="s">
        <v>146</v>
      </c>
      <c r="C12" s="1" t="s">
        <v>123</v>
      </c>
      <c r="D12" s="2" t="s">
        <v>124</v>
      </c>
      <c r="E12" s="7">
        <v>1.0825769999999999</v>
      </c>
      <c r="F12" s="7">
        <v>1.0932120000000001</v>
      </c>
      <c r="G12" s="7">
        <v>1.0248729999999999</v>
      </c>
      <c r="H12" s="2" t="s">
        <v>129</v>
      </c>
      <c r="I12" s="2" t="s">
        <v>129</v>
      </c>
      <c r="J12" s="2" t="s">
        <v>129</v>
      </c>
      <c r="K12" s="2" t="s">
        <v>129</v>
      </c>
      <c r="L12" s="7">
        <v>21.082229000000002</v>
      </c>
      <c r="M12" s="7">
        <v>24.456727999999998</v>
      </c>
      <c r="N12" s="7">
        <v>28.25394</v>
      </c>
      <c r="O12" s="2" t="s">
        <v>129</v>
      </c>
      <c r="P12" s="2" t="s">
        <v>129</v>
      </c>
      <c r="Q12" s="2" t="s">
        <v>129</v>
      </c>
      <c r="R12" s="2" t="s">
        <v>129</v>
      </c>
      <c r="S12" s="8">
        <v>31755017000</v>
      </c>
      <c r="T12" s="8">
        <v>28022907000</v>
      </c>
      <c r="U12" s="8">
        <v>24732630000</v>
      </c>
      <c r="V12" s="8">
        <v>22340335000</v>
      </c>
      <c r="W12" s="2" t="s">
        <v>129</v>
      </c>
      <c r="X12" s="2" t="s">
        <v>129</v>
      </c>
      <c r="Y12" s="2" t="s">
        <v>129</v>
      </c>
      <c r="Z12" s="8">
        <v>9569000</v>
      </c>
      <c r="AA12" s="8">
        <v>-5378000</v>
      </c>
      <c r="AB12" s="8">
        <v>3406000</v>
      </c>
      <c r="AC12" s="8">
        <v>5357000</v>
      </c>
      <c r="AD12" s="2" t="s">
        <v>129</v>
      </c>
      <c r="AE12" s="2" t="s">
        <v>129</v>
      </c>
      <c r="AF12" s="2" t="s">
        <v>129</v>
      </c>
      <c r="AG12" s="8">
        <v>20684178000</v>
      </c>
      <c r="AH12" s="8">
        <v>16616355000</v>
      </c>
      <c r="AI12" s="8">
        <v>10680232000</v>
      </c>
      <c r="AJ12" s="8">
        <v>6752908000</v>
      </c>
      <c r="AK12" s="2" t="s">
        <v>129</v>
      </c>
      <c r="AL12" s="2" t="s">
        <v>129</v>
      </c>
      <c r="AM12" s="2" t="s">
        <v>129</v>
      </c>
      <c r="AN12" s="7">
        <v>5.3129399993710003</v>
      </c>
      <c r="AO12" s="7">
        <v>4.9334068018000004</v>
      </c>
      <c r="AP12" s="7">
        <v>3.9449140669629998</v>
      </c>
      <c r="AQ12" s="7">
        <v>3.2758058462420001</v>
      </c>
      <c r="AR12" s="2" t="s">
        <v>129</v>
      </c>
      <c r="AS12" s="2" t="s">
        <v>129</v>
      </c>
      <c r="AT12" s="2" t="s">
        <v>129</v>
      </c>
      <c r="AU12" s="7">
        <v>69.791246999999998</v>
      </c>
      <c r="AV12" s="7">
        <v>63.025578000000003</v>
      </c>
      <c r="AW12" s="7">
        <v>61.506360000000001</v>
      </c>
      <c r="AX12" s="7">
        <v>66.054413999999994</v>
      </c>
      <c r="AY12" s="2" t="s">
        <v>129</v>
      </c>
      <c r="AZ12" s="2" t="s">
        <v>129</v>
      </c>
      <c r="BA12" s="2" t="s">
        <v>129</v>
      </c>
      <c r="BB12" s="8">
        <v>886071000</v>
      </c>
      <c r="BC12" s="8">
        <v>760734000</v>
      </c>
      <c r="BD12" s="8">
        <v>723904000</v>
      </c>
      <c r="BE12" s="8">
        <v>780016000</v>
      </c>
      <c r="BF12" s="2" t="s">
        <v>129</v>
      </c>
      <c r="BG12" s="2" t="s">
        <v>129</v>
      </c>
      <c r="BH12" s="2" t="s">
        <v>129</v>
      </c>
      <c r="BI12" s="8">
        <v>323571000</v>
      </c>
      <c r="BJ12" s="8">
        <v>288365000</v>
      </c>
      <c r="BK12" s="8">
        <v>241219000</v>
      </c>
      <c r="BL12" s="8">
        <v>214120000</v>
      </c>
      <c r="BM12" s="2" t="s">
        <v>129</v>
      </c>
      <c r="BN12" s="2" t="s">
        <v>129</v>
      </c>
      <c r="BO12" s="2" t="s">
        <v>129</v>
      </c>
      <c r="BR12">
        <v>4.6262413715449557E-4</v>
      </c>
      <c r="BS12">
        <v>-3.2365702345670878E-4</v>
      </c>
      <c r="BT12">
        <v>3.1890693011163055E-4</v>
      </c>
      <c r="BU12">
        <v>7.9328786946305206E-4</v>
      </c>
      <c r="BV12" t="e">
        <v>#VALUE!</v>
      </c>
      <c r="BW12" t="e">
        <v>#VALUE!</v>
      </c>
      <c r="BX12" t="e">
        <v>#VALUE!</v>
      </c>
      <c r="BZ12">
        <v>0.65136724694557713</v>
      </c>
      <c r="CA12">
        <v>0.59295614833964227</v>
      </c>
      <c r="CB12">
        <v>0.4318275897063919</v>
      </c>
      <c r="CC12">
        <v>0.30227424969231659</v>
      </c>
      <c r="CD12" t="e">
        <v>#VALUE!</v>
      </c>
      <c r="CE12" t="e">
        <v>#VALUE!</v>
      </c>
      <c r="CF12" t="e">
        <v>#VALUE!</v>
      </c>
      <c r="CH12">
        <v>1.9474088148193087E-2</v>
      </c>
      <c r="CI12">
        <v>1.7109466927985737E-2</v>
      </c>
      <c r="CJ12">
        <v>1.8002412209878207E-2</v>
      </c>
      <c r="CK12">
        <v>2.3062993366314337E-2</v>
      </c>
      <c r="CL12" t="e">
        <v>#VALUE!</v>
      </c>
      <c r="CM12" t="e">
        <v>#VALUE!</v>
      </c>
      <c r="CN12" t="e">
        <v>#VALUE!</v>
      </c>
    </row>
    <row r="13" spans="1:92" ht="36" customHeight="1" x14ac:dyDescent="0.3">
      <c r="A13" s="6" t="s">
        <v>147</v>
      </c>
      <c r="B13" s="1" t="s">
        <v>148</v>
      </c>
      <c r="C13" s="1" t="s">
        <v>123</v>
      </c>
      <c r="D13" s="2" t="s">
        <v>149</v>
      </c>
      <c r="E13" s="7">
        <v>0.46946900000000003</v>
      </c>
      <c r="F13" s="7">
        <v>0.221354</v>
      </c>
      <c r="G13" s="7">
        <v>0.135903</v>
      </c>
      <c r="H13" s="7">
        <v>-1.301698</v>
      </c>
      <c r="I13" s="7">
        <v>-1.2553939999999999</v>
      </c>
      <c r="J13" s="7">
        <v>0.43886700000000001</v>
      </c>
      <c r="K13" s="7">
        <v>-1.1508799999999999</v>
      </c>
      <c r="L13" s="7">
        <v>6.598776</v>
      </c>
      <c r="M13" s="7">
        <v>3.490275</v>
      </c>
      <c r="N13" s="7">
        <v>2.3192029999999999</v>
      </c>
      <c r="O13" s="7">
        <v>-20.480974</v>
      </c>
      <c r="P13" s="7">
        <v>-16.664909000000002</v>
      </c>
      <c r="Q13" s="7">
        <v>5.804824</v>
      </c>
      <c r="R13" s="7">
        <v>-16.370331</v>
      </c>
      <c r="S13" s="8">
        <v>23881672000</v>
      </c>
      <c r="T13" s="8">
        <v>24340000000</v>
      </c>
      <c r="U13" s="8">
        <v>26472669000</v>
      </c>
      <c r="V13" s="8">
        <v>24956824000</v>
      </c>
      <c r="W13" s="8">
        <v>25469459000</v>
      </c>
      <c r="X13" s="8">
        <v>26901681000</v>
      </c>
      <c r="Y13" s="8">
        <v>28813556000</v>
      </c>
      <c r="Z13" s="8">
        <v>112916000</v>
      </c>
      <c r="AA13" s="8">
        <v>155309000</v>
      </c>
      <c r="AB13" s="8">
        <v>139034000</v>
      </c>
      <c r="AC13" s="8">
        <v>358744000</v>
      </c>
      <c r="AD13" s="8">
        <v>467080000</v>
      </c>
      <c r="AE13" s="8">
        <v>440009000</v>
      </c>
      <c r="AF13" s="8">
        <v>648566000</v>
      </c>
      <c r="AG13" s="8">
        <v>19231281000</v>
      </c>
      <c r="AH13" s="8">
        <v>19420517000</v>
      </c>
      <c r="AI13" s="8">
        <v>20977420000</v>
      </c>
      <c r="AJ13" s="8">
        <v>15968880000</v>
      </c>
      <c r="AK13" s="8">
        <v>17302338000</v>
      </c>
      <c r="AL13" s="8">
        <v>18263530000</v>
      </c>
      <c r="AM13" s="8">
        <v>18186601000</v>
      </c>
      <c r="AN13" s="7">
        <v>7.4301120960039997</v>
      </c>
      <c r="AO13" s="7">
        <v>6.8048151191450001</v>
      </c>
      <c r="AP13" s="7">
        <v>5.9165246994930003</v>
      </c>
      <c r="AQ13" s="7">
        <v>5.7998004874340001</v>
      </c>
      <c r="AR13" s="7">
        <v>6.9003036146149999</v>
      </c>
      <c r="AS13" s="7">
        <v>8.1323170845719996</v>
      </c>
      <c r="AT13" s="7">
        <v>7.0264149277510004</v>
      </c>
      <c r="AU13" s="7">
        <v>47.666663999999997</v>
      </c>
      <c r="AV13" s="7">
        <v>49.427635000000002</v>
      </c>
      <c r="AW13" s="7">
        <v>43.628216000000002</v>
      </c>
      <c r="AX13" s="7">
        <v>30.879866</v>
      </c>
      <c r="AY13" s="7">
        <v>45.350811</v>
      </c>
      <c r="AZ13" s="7">
        <v>49.186560999999998</v>
      </c>
      <c r="BA13" s="7">
        <v>50.824311999999999</v>
      </c>
      <c r="BB13" s="8">
        <v>650035000</v>
      </c>
      <c r="BC13" s="8">
        <v>687061000</v>
      </c>
      <c r="BD13" s="8">
        <v>649614000</v>
      </c>
      <c r="BE13" s="8">
        <v>567075000</v>
      </c>
      <c r="BF13" s="8">
        <v>771640000</v>
      </c>
      <c r="BG13" s="8">
        <v>914144000</v>
      </c>
      <c r="BH13" s="8">
        <v>974388000</v>
      </c>
      <c r="BI13" s="8">
        <v>113193000</v>
      </c>
      <c r="BJ13" s="8">
        <v>56238000</v>
      </c>
      <c r="BK13" s="8">
        <v>34947000</v>
      </c>
      <c r="BL13" s="8">
        <v>-328199000</v>
      </c>
      <c r="BM13" s="8">
        <v>-328732000</v>
      </c>
      <c r="BN13" s="8">
        <v>122258000</v>
      </c>
      <c r="BO13" s="8">
        <v>-322317000</v>
      </c>
      <c r="BR13">
        <v>5.8714757482873862E-3</v>
      </c>
      <c r="BS13">
        <v>7.9971609406690874E-3</v>
      </c>
      <c r="BT13">
        <v>6.6277931223191417E-3</v>
      </c>
      <c r="BU13">
        <v>2.2465194803893574E-2</v>
      </c>
      <c r="BV13">
        <v>2.6995195678179446E-2</v>
      </c>
      <c r="BW13">
        <v>2.4092220945238954E-2</v>
      </c>
      <c r="BX13">
        <v>3.5661748998617168E-2</v>
      </c>
      <c r="BZ13">
        <v>0.80527364248198363</v>
      </c>
      <c r="CA13">
        <v>0.79788483976992608</v>
      </c>
      <c r="CB13">
        <v>0.79241802177181309</v>
      </c>
      <c r="CC13">
        <v>0.63986026427080622</v>
      </c>
      <c r="CD13">
        <v>0.67933669105417593</v>
      </c>
      <c r="CE13">
        <v>0.67889921079652982</v>
      </c>
      <c r="CF13">
        <v>0.6311821074774665</v>
      </c>
      <c r="CH13">
        <v>1.2974384680117874E-2</v>
      </c>
      <c r="CI13">
        <v>1.3952259790770338E-2</v>
      </c>
      <c r="CJ13">
        <v>1.0705947295538655E-2</v>
      </c>
      <c r="CK13">
        <v>7.0165979501037477E-3</v>
      </c>
      <c r="CL13">
        <v>1.3739789211871363E-2</v>
      </c>
      <c r="CM13">
        <v>1.6714048322401861E-2</v>
      </c>
      <c r="CN13">
        <v>1.7187257178897321E-2</v>
      </c>
    </row>
    <row r="14" spans="1:92" ht="36" customHeight="1" x14ac:dyDescent="0.3">
      <c r="A14" s="6" t="s">
        <v>150</v>
      </c>
      <c r="B14" s="1" t="s">
        <v>151</v>
      </c>
      <c r="C14" s="1" t="s">
        <v>123</v>
      </c>
      <c r="D14" s="2" t="s">
        <v>124</v>
      </c>
      <c r="E14" s="7">
        <v>-1.2319560000000001</v>
      </c>
      <c r="F14" s="2" t="s">
        <v>129</v>
      </c>
      <c r="G14" s="7">
        <v>-1.1696530000000001</v>
      </c>
      <c r="H14" s="7">
        <v>-1.541676</v>
      </c>
      <c r="I14" s="7">
        <v>-1.0500579999999999</v>
      </c>
      <c r="J14" s="7">
        <v>-0.37947900000000001</v>
      </c>
      <c r="K14" s="7">
        <v>-1.3594390000000001</v>
      </c>
      <c r="L14" s="7">
        <v>-18.623659</v>
      </c>
      <c r="M14" s="2" t="s">
        <v>129</v>
      </c>
      <c r="N14" s="7">
        <v>-13.617417</v>
      </c>
      <c r="O14" s="7">
        <v>-17.851262999999999</v>
      </c>
      <c r="P14" s="7">
        <v>-12.936237999999999</v>
      </c>
      <c r="Q14" s="7">
        <v>-6.114776</v>
      </c>
      <c r="R14" s="7">
        <v>-31.608183</v>
      </c>
      <c r="S14" s="8">
        <v>22030236000</v>
      </c>
      <c r="T14" s="8">
        <v>22714235000</v>
      </c>
      <c r="U14" s="8">
        <v>22094584000</v>
      </c>
      <c r="V14" s="8">
        <v>24919704000</v>
      </c>
      <c r="W14" s="8">
        <v>26111004000</v>
      </c>
      <c r="X14" s="8">
        <v>30279806000</v>
      </c>
      <c r="Y14" s="8">
        <v>38309560000</v>
      </c>
      <c r="Z14" s="8">
        <v>91841000</v>
      </c>
      <c r="AA14" s="8">
        <v>462500000</v>
      </c>
      <c r="AB14" s="8">
        <v>244031000</v>
      </c>
      <c r="AC14" s="8">
        <v>427501000</v>
      </c>
      <c r="AD14" s="8">
        <v>469797000</v>
      </c>
      <c r="AE14" s="8">
        <v>318694000</v>
      </c>
      <c r="AF14" s="8">
        <v>645527000</v>
      </c>
      <c r="AG14" s="8">
        <v>11983707000</v>
      </c>
      <c r="AH14" s="8">
        <v>12661276000</v>
      </c>
      <c r="AI14" s="8">
        <v>15682722000</v>
      </c>
      <c r="AJ14" s="8">
        <v>15753934000</v>
      </c>
      <c r="AK14" s="8">
        <v>18246327000</v>
      </c>
      <c r="AL14" s="8">
        <v>20362604000</v>
      </c>
      <c r="AM14" s="8">
        <v>19983537000</v>
      </c>
      <c r="AN14" s="7">
        <v>6.1729116292719999</v>
      </c>
      <c r="AO14" s="7">
        <v>7.0437811354860003</v>
      </c>
      <c r="AP14" s="7">
        <v>8.0082566840809992</v>
      </c>
      <c r="AQ14" s="7">
        <v>9.1046386425779993</v>
      </c>
      <c r="AR14" s="7">
        <v>8.1891872101129994</v>
      </c>
      <c r="AS14" s="7">
        <v>8.0550846329729993</v>
      </c>
      <c r="AT14" s="7">
        <v>4.7443588493320004</v>
      </c>
      <c r="AU14" s="7">
        <v>71.738504000000006</v>
      </c>
      <c r="AV14" s="7">
        <v>70.020796000000004</v>
      </c>
      <c r="AW14" s="7">
        <v>51.911296</v>
      </c>
      <c r="AX14" s="7">
        <v>49.451264999999999</v>
      </c>
      <c r="AY14" s="7">
        <v>61.388831000000003</v>
      </c>
      <c r="AZ14" s="7">
        <v>58.290751</v>
      </c>
      <c r="BA14" s="7">
        <v>57.339461</v>
      </c>
      <c r="BB14" s="8">
        <v>437422000</v>
      </c>
      <c r="BC14" s="8">
        <v>412099000</v>
      </c>
      <c r="BD14" s="8">
        <v>471277000</v>
      </c>
      <c r="BE14" s="8">
        <v>462154000</v>
      </c>
      <c r="BF14" s="8">
        <v>670780000</v>
      </c>
      <c r="BG14" s="8">
        <v>793167000</v>
      </c>
      <c r="BH14" s="8">
        <v>828862000</v>
      </c>
      <c r="BI14" s="8">
        <v>-252648000</v>
      </c>
      <c r="BJ14" s="8">
        <v>-876423000</v>
      </c>
      <c r="BK14" s="8">
        <v>-274952000</v>
      </c>
      <c r="BL14" s="8">
        <v>-393364000</v>
      </c>
      <c r="BM14" s="8">
        <v>-296068000</v>
      </c>
      <c r="BN14" s="8">
        <v>-130141000</v>
      </c>
      <c r="BO14" s="8">
        <v>-546942000</v>
      </c>
      <c r="BR14">
        <v>7.66382222128762E-3</v>
      </c>
      <c r="BS14">
        <v>3.6528703742024105E-2</v>
      </c>
      <c r="BT14">
        <v>1.556050027539862E-2</v>
      </c>
      <c r="BU14">
        <v>2.7136142629517173E-2</v>
      </c>
      <c r="BV14">
        <v>2.574748331540918E-2</v>
      </c>
      <c r="BW14">
        <v>1.5650945232741353E-2</v>
      </c>
      <c r="BX14">
        <v>3.2302940165196983E-2</v>
      </c>
      <c r="BZ14">
        <v>0.54396634697876134</v>
      </c>
      <c r="CA14">
        <v>0.5574159112116257</v>
      </c>
      <c r="CB14">
        <v>0.70979937888850952</v>
      </c>
      <c r="CC14">
        <v>0.63218784621197743</v>
      </c>
      <c r="CD14">
        <v>0.69879836868777623</v>
      </c>
      <c r="CE14">
        <v>0.67248132303093355</v>
      </c>
      <c r="CF14">
        <v>0.52163316415014949</v>
      </c>
      <c r="CH14">
        <v>1.424405979885463E-2</v>
      </c>
      <c r="CI14">
        <v>1.2703707613663415E-2</v>
      </c>
      <c r="CJ14">
        <v>1.1072668236248303E-2</v>
      </c>
      <c r="CK14">
        <v>9.1710960631033178E-3</v>
      </c>
      <c r="CL14">
        <v>1.577051577878047E-2</v>
      </c>
      <c r="CM14">
        <v>1.5269021240894673E-2</v>
      </c>
      <c r="CN14">
        <v>1.2405911298219557E-2</v>
      </c>
    </row>
    <row r="15" spans="1:92" ht="36" customHeight="1" x14ac:dyDescent="0.3">
      <c r="A15" s="6" t="s">
        <v>152</v>
      </c>
      <c r="B15" s="1" t="s">
        <v>153</v>
      </c>
      <c r="C15" s="1" t="s">
        <v>123</v>
      </c>
      <c r="D15" s="2" t="s">
        <v>124</v>
      </c>
      <c r="E15" s="7">
        <v>0.158697</v>
      </c>
      <c r="F15" s="7">
        <v>0.28889100000000001</v>
      </c>
      <c r="G15" s="7">
        <v>0.264876</v>
      </c>
      <c r="H15" s="7">
        <v>0.34109299999999998</v>
      </c>
      <c r="I15" s="7">
        <v>0.20749999999999999</v>
      </c>
      <c r="J15" s="7">
        <v>0.30306499999999997</v>
      </c>
      <c r="K15" s="7">
        <v>0.361153</v>
      </c>
      <c r="L15" s="7">
        <v>2.417116</v>
      </c>
      <c r="M15" s="7">
        <v>4.2237640000000001</v>
      </c>
      <c r="N15" s="7">
        <v>3.8157549999999998</v>
      </c>
      <c r="O15" s="7">
        <v>4.7366599999999996</v>
      </c>
      <c r="P15" s="7">
        <v>2.7749220000000001</v>
      </c>
      <c r="Q15" s="7">
        <v>4.1268659999999997</v>
      </c>
      <c r="R15" s="7">
        <v>4.5872260000000002</v>
      </c>
      <c r="S15" s="8">
        <v>15663522000</v>
      </c>
      <c r="T15" s="8">
        <v>14192062000</v>
      </c>
      <c r="U15" s="8">
        <v>13608036000</v>
      </c>
      <c r="V15" s="8">
        <v>13995822000</v>
      </c>
      <c r="W15" s="8">
        <v>12365903000</v>
      </c>
      <c r="X15" s="8">
        <v>12248130000</v>
      </c>
      <c r="Y15" s="8">
        <v>12563670000</v>
      </c>
      <c r="Z15" s="8">
        <v>71723000</v>
      </c>
      <c r="AA15" s="8">
        <v>52876000</v>
      </c>
      <c r="AB15" s="8">
        <v>63104000</v>
      </c>
      <c r="AC15" s="8">
        <v>79041000</v>
      </c>
      <c r="AD15" s="8">
        <v>90138000</v>
      </c>
      <c r="AE15" s="8">
        <v>143429000</v>
      </c>
      <c r="AF15" s="8">
        <v>150494000</v>
      </c>
      <c r="AG15" s="8">
        <v>12966586000</v>
      </c>
      <c r="AH15" s="8">
        <v>12034686000</v>
      </c>
      <c r="AI15" s="8">
        <v>12070869000</v>
      </c>
      <c r="AJ15" s="8">
        <v>10486066000</v>
      </c>
      <c r="AK15" s="8">
        <v>9508427000</v>
      </c>
      <c r="AL15" s="8">
        <v>9386311000</v>
      </c>
      <c r="AM15" s="8">
        <v>9468539000</v>
      </c>
      <c r="AN15" s="7">
        <v>6.3528177123890002</v>
      </c>
      <c r="AO15" s="7">
        <v>6.800364880029</v>
      </c>
      <c r="AP15" s="7">
        <v>6.8806402334619996</v>
      </c>
      <c r="AQ15" s="7">
        <v>7.0009535702869998</v>
      </c>
      <c r="AR15" s="7">
        <v>7.4276904808330002</v>
      </c>
      <c r="AS15" s="7">
        <v>7.5281287837409998</v>
      </c>
      <c r="AT15" s="7">
        <v>7.163941746321</v>
      </c>
      <c r="AU15" s="7">
        <v>48.57647</v>
      </c>
      <c r="AV15" s="7">
        <v>49.798084000000003</v>
      </c>
      <c r="AW15" s="7">
        <v>47.631729</v>
      </c>
      <c r="AX15" s="7">
        <v>50.738784000000003</v>
      </c>
      <c r="AY15" s="7">
        <v>49.191817</v>
      </c>
      <c r="AZ15" s="7">
        <v>48.935501000000002</v>
      </c>
      <c r="BA15" s="7">
        <v>51.556908999999997</v>
      </c>
      <c r="BB15" s="8">
        <v>432446000</v>
      </c>
      <c r="BC15" s="8">
        <v>434587000</v>
      </c>
      <c r="BD15" s="8">
        <v>418322000</v>
      </c>
      <c r="BE15" s="8">
        <v>469420000</v>
      </c>
      <c r="BF15" s="8">
        <v>464870000</v>
      </c>
      <c r="BG15" s="8">
        <v>512166000</v>
      </c>
      <c r="BH15" s="8">
        <v>470034000</v>
      </c>
      <c r="BI15" s="8">
        <v>23690000</v>
      </c>
      <c r="BJ15" s="8">
        <v>40156000</v>
      </c>
      <c r="BK15" s="8">
        <v>36558000</v>
      </c>
      <c r="BL15" s="8">
        <v>44959000</v>
      </c>
      <c r="BM15" s="8">
        <v>25537000</v>
      </c>
      <c r="BN15" s="8">
        <v>37598000</v>
      </c>
      <c r="BO15" s="8">
        <v>39427000</v>
      </c>
      <c r="BR15">
        <v>5.5313711720263144E-3</v>
      </c>
      <c r="BS15">
        <v>4.3936335355986853E-3</v>
      </c>
      <c r="BT15">
        <v>5.2277926303400356E-3</v>
      </c>
      <c r="BU15">
        <v>7.5377171953714579E-3</v>
      </c>
      <c r="BV15">
        <v>9.4798014434984874E-3</v>
      </c>
      <c r="BW15">
        <v>1.5280657118648636E-2</v>
      </c>
      <c r="BX15">
        <v>1.5894109957196142E-2</v>
      </c>
      <c r="BZ15">
        <v>0.827820588498551</v>
      </c>
      <c r="CA15">
        <v>0.84798713534368719</v>
      </c>
      <c r="CB15">
        <v>0.88703976091774006</v>
      </c>
      <c r="CC15">
        <v>0.74922830541857421</v>
      </c>
      <c r="CD15">
        <v>0.76892298120080682</v>
      </c>
      <c r="CE15">
        <v>0.76634645451999617</v>
      </c>
      <c r="CF15">
        <v>0.75364435710266187</v>
      </c>
      <c r="CH15">
        <v>1.3411223954369904E-2</v>
      </c>
      <c r="CI15">
        <v>1.5249087786755725E-2</v>
      </c>
      <c r="CJ15">
        <v>1.4642377591254169E-2</v>
      </c>
      <c r="CK15">
        <v>1.7017792870815306E-2</v>
      </c>
      <c r="CL15">
        <v>1.8492624411488592E-2</v>
      </c>
      <c r="CM15">
        <v>2.0462797018945753E-2</v>
      </c>
      <c r="CN15">
        <v>1.9288551963642788E-2</v>
      </c>
    </row>
    <row r="16" spans="1:92" ht="36" customHeight="1" x14ac:dyDescent="0.3">
      <c r="A16" s="6" t="s">
        <v>154</v>
      </c>
      <c r="B16" s="1" t="s">
        <v>155</v>
      </c>
      <c r="C16" s="1" t="s">
        <v>123</v>
      </c>
      <c r="D16" s="2" t="s">
        <v>124</v>
      </c>
      <c r="E16" s="7">
        <v>2.2042160000000002</v>
      </c>
      <c r="F16" s="7">
        <v>2.5311940000000002</v>
      </c>
      <c r="G16" s="7">
        <v>1.9237139999999999</v>
      </c>
      <c r="H16" s="7">
        <v>2.3531010000000001</v>
      </c>
      <c r="I16" s="7">
        <v>2.1543100000000002</v>
      </c>
      <c r="J16" s="7">
        <v>3.3217159999999999</v>
      </c>
      <c r="K16" s="7">
        <v>2.5254080000000001</v>
      </c>
      <c r="L16" s="7">
        <v>26.153331000000001</v>
      </c>
      <c r="M16" s="7">
        <v>32.933726999999998</v>
      </c>
      <c r="N16" s="7">
        <v>24.491194</v>
      </c>
      <c r="O16" s="7">
        <v>29.525001</v>
      </c>
      <c r="P16" s="7">
        <v>24.295439999999999</v>
      </c>
      <c r="Q16" s="7">
        <v>34.704281000000002</v>
      </c>
      <c r="R16" s="7">
        <v>32.006883000000002</v>
      </c>
      <c r="S16" s="8">
        <v>13176989000</v>
      </c>
      <c r="T16" s="8">
        <v>11765576000</v>
      </c>
      <c r="U16" s="8">
        <v>9735894000</v>
      </c>
      <c r="V16" s="8">
        <v>8991011000</v>
      </c>
      <c r="W16" s="8">
        <v>8356735000</v>
      </c>
      <c r="X16" s="8">
        <v>6116017000</v>
      </c>
      <c r="Y16" s="8">
        <v>6140237000</v>
      </c>
      <c r="Z16" s="8">
        <v>779000</v>
      </c>
      <c r="AA16" s="8">
        <v>5591000</v>
      </c>
      <c r="AB16" s="8">
        <v>5001000</v>
      </c>
      <c r="AC16" s="8">
        <v>1806000</v>
      </c>
      <c r="AD16" s="8">
        <v>-1921000</v>
      </c>
      <c r="AE16" s="8">
        <v>1121000</v>
      </c>
      <c r="AF16" s="8">
        <v>7530000</v>
      </c>
      <c r="AG16" s="8">
        <v>8259917000</v>
      </c>
      <c r="AH16" s="8">
        <v>6869766000</v>
      </c>
      <c r="AI16" s="8">
        <v>5531702000</v>
      </c>
      <c r="AJ16" s="8">
        <v>2908009000</v>
      </c>
      <c r="AK16" s="8">
        <v>1881927000</v>
      </c>
      <c r="AL16" s="8">
        <v>1922020000</v>
      </c>
      <c r="AM16" s="8">
        <v>1794959000</v>
      </c>
      <c r="AN16" s="7">
        <v>8.9891856174430007</v>
      </c>
      <c r="AO16" s="7">
        <v>7.7996011415000002</v>
      </c>
      <c r="AP16" s="7">
        <v>7.5480998457870001</v>
      </c>
      <c r="AQ16" s="7">
        <v>8.1867322818310004</v>
      </c>
      <c r="AR16" s="7">
        <v>7.7365262868810003</v>
      </c>
      <c r="AS16" s="7">
        <v>10.411972366983001</v>
      </c>
      <c r="AT16" s="7">
        <v>8.7343208413620008</v>
      </c>
      <c r="AU16" s="7">
        <v>87.414941999999996</v>
      </c>
      <c r="AV16" s="7">
        <v>88.890657000000004</v>
      </c>
      <c r="AW16" s="7">
        <v>88.817223999999996</v>
      </c>
      <c r="AX16" s="7">
        <v>88.846254000000002</v>
      </c>
      <c r="AY16" s="7">
        <v>87.008296000000001</v>
      </c>
      <c r="AZ16" s="7">
        <v>87.153451000000004</v>
      </c>
      <c r="BA16" s="7">
        <v>76.941907</v>
      </c>
      <c r="BB16" s="8">
        <v>712305000</v>
      </c>
      <c r="BC16" s="8">
        <v>666241000</v>
      </c>
      <c r="BD16" s="8">
        <v>536289000</v>
      </c>
      <c r="BE16" s="8">
        <v>550676000</v>
      </c>
      <c r="BF16" s="8">
        <v>451542000</v>
      </c>
      <c r="BG16" s="8">
        <v>515547000</v>
      </c>
      <c r="BH16" s="8">
        <v>464067000</v>
      </c>
      <c r="BI16" s="8">
        <v>274894000</v>
      </c>
      <c r="BJ16" s="8">
        <v>272122000</v>
      </c>
      <c r="BK16" s="8">
        <v>180126000</v>
      </c>
      <c r="BL16" s="8">
        <v>204105000</v>
      </c>
      <c r="BM16" s="8">
        <v>155894000</v>
      </c>
      <c r="BN16" s="8">
        <v>203559000</v>
      </c>
      <c r="BO16" s="8">
        <v>160905000</v>
      </c>
      <c r="BR16">
        <v>9.4310875036637777E-5</v>
      </c>
      <c r="BS16">
        <v>8.1385595957708017E-4</v>
      </c>
      <c r="BT16">
        <v>9.0406171554432979E-4</v>
      </c>
      <c r="BU16">
        <v>6.2104346994799539E-4</v>
      </c>
      <c r="BV16">
        <v>-1.0207622293532108E-3</v>
      </c>
      <c r="BW16">
        <v>5.8324054900573351E-4</v>
      </c>
      <c r="BX16">
        <v>4.1950818932354446E-3</v>
      </c>
      <c r="BZ16">
        <v>0.62684403849771753</v>
      </c>
      <c r="CA16">
        <v>0.58388692572297352</v>
      </c>
      <c r="CB16">
        <v>0.56817607093914535</v>
      </c>
      <c r="CC16">
        <v>0.32343515095243458</v>
      </c>
      <c r="CD16">
        <v>0.22519883662698412</v>
      </c>
      <c r="CE16">
        <v>0.31426008135687</v>
      </c>
      <c r="CF16">
        <v>0.29232731570458925</v>
      </c>
      <c r="CH16">
        <v>4.7253663383425452E-2</v>
      </c>
      <c r="CI16">
        <v>5.0335487366140859E-2</v>
      </c>
      <c r="CJ16">
        <v>4.8923807348083284E-2</v>
      </c>
      <c r="CK16">
        <v>5.4416015916012118E-2</v>
      </c>
      <c r="CL16">
        <v>4.7013456801528346E-2</v>
      </c>
      <c r="CM16">
        <v>7.3465623464906982E-2</v>
      </c>
      <c r="CN16">
        <v>5.8151175525910474E-2</v>
      </c>
    </row>
    <row r="17" spans="1:92" ht="36" customHeight="1" x14ac:dyDescent="0.3">
      <c r="A17" s="6" t="s">
        <v>156</v>
      </c>
      <c r="B17" s="1" t="s">
        <v>157</v>
      </c>
      <c r="C17" s="1" t="s">
        <v>123</v>
      </c>
      <c r="D17" s="2" t="s">
        <v>158</v>
      </c>
      <c r="E17" s="2" t="s">
        <v>129</v>
      </c>
      <c r="F17" s="7">
        <v>-0.19084599999999999</v>
      </c>
      <c r="G17" s="7">
        <v>0.72104999999999997</v>
      </c>
      <c r="H17" s="7">
        <v>4.9639999999999997E-3</v>
      </c>
      <c r="I17" s="7">
        <v>0.47448299999999999</v>
      </c>
      <c r="J17" s="7">
        <v>-6.9470000000000001E-3</v>
      </c>
      <c r="K17" s="7">
        <v>0.28919899999999998</v>
      </c>
      <c r="L17" s="2" t="s">
        <v>129</v>
      </c>
      <c r="M17" s="7">
        <v>-2.6668120000000002</v>
      </c>
      <c r="N17" s="7">
        <v>8.4123359999999998</v>
      </c>
      <c r="O17" s="7">
        <v>5.0477000000000001E-2</v>
      </c>
      <c r="P17" s="7">
        <v>4.8569149999999999</v>
      </c>
      <c r="Q17" s="7">
        <v>-7.0624000000000006E-2</v>
      </c>
      <c r="R17" s="7">
        <v>2.9268360000000002</v>
      </c>
      <c r="S17" s="2" t="s">
        <v>129</v>
      </c>
      <c r="T17" s="8">
        <v>13410879000</v>
      </c>
      <c r="U17" s="8">
        <v>12698157000</v>
      </c>
      <c r="V17" s="8">
        <v>12686197000</v>
      </c>
      <c r="W17" s="8">
        <v>12497390000</v>
      </c>
      <c r="X17" s="8">
        <v>13205940000</v>
      </c>
      <c r="Y17" s="8">
        <v>12416178000</v>
      </c>
      <c r="Z17" s="2" t="s">
        <v>129</v>
      </c>
      <c r="AA17" s="8">
        <v>84925000</v>
      </c>
      <c r="AB17" s="8">
        <v>24056000</v>
      </c>
      <c r="AC17" s="8">
        <v>83845000</v>
      </c>
      <c r="AD17" s="8">
        <v>56377000</v>
      </c>
      <c r="AE17" s="8">
        <v>90731000</v>
      </c>
      <c r="AF17" s="8">
        <v>118373000</v>
      </c>
      <c r="AG17" s="2" t="s">
        <v>129</v>
      </c>
      <c r="AH17" s="8">
        <v>8364418000</v>
      </c>
      <c r="AI17" s="8">
        <v>7790215000</v>
      </c>
      <c r="AJ17" s="8">
        <v>7723631000</v>
      </c>
      <c r="AK17" s="8">
        <v>7559558000</v>
      </c>
      <c r="AL17" s="8">
        <v>7945802000</v>
      </c>
      <c r="AM17" s="8">
        <v>8108150000</v>
      </c>
      <c r="AN17" s="2" t="s">
        <v>129</v>
      </c>
      <c r="AO17" s="7">
        <v>6.8340188588680002</v>
      </c>
      <c r="AP17" s="7">
        <v>7.4967257059429997</v>
      </c>
      <c r="AQ17" s="7">
        <v>9.6469808879680006</v>
      </c>
      <c r="AR17" s="7">
        <v>10.022492696475</v>
      </c>
      <c r="AS17" s="7">
        <v>9.5295601827659997</v>
      </c>
      <c r="AT17" s="7">
        <v>10.163425492128001</v>
      </c>
      <c r="AU17" s="2" t="s">
        <v>129</v>
      </c>
      <c r="AV17" s="7">
        <v>50.573377999999998</v>
      </c>
      <c r="AW17" s="7">
        <v>46.651440000000001</v>
      </c>
      <c r="AX17" s="7">
        <v>50.029705</v>
      </c>
      <c r="AY17" s="7">
        <v>45.363525000000003</v>
      </c>
      <c r="AZ17" s="7">
        <v>48.191330999999998</v>
      </c>
      <c r="BA17" s="7">
        <v>47.791511</v>
      </c>
      <c r="BB17" s="2" t="s">
        <v>129</v>
      </c>
      <c r="BC17" s="8">
        <v>417787000</v>
      </c>
      <c r="BD17" s="8">
        <v>394483000</v>
      </c>
      <c r="BE17" s="8">
        <v>400608000</v>
      </c>
      <c r="BF17" s="8">
        <v>402407000</v>
      </c>
      <c r="BG17" s="8">
        <v>473608000</v>
      </c>
      <c r="BH17" s="8">
        <v>531404000</v>
      </c>
      <c r="BI17" s="2" t="s">
        <v>129</v>
      </c>
      <c r="BJ17" s="8">
        <v>-24914000</v>
      </c>
      <c r="BK17" s="8">
        <v>91517000</v>
      </c>
      <c r="BL17" s="8">
        <v>625000</v>
      </c>
      <c r="BM17" s="8">
        <v>60979000</v>
      </c>
      <c r="BN17" s="8">
        <v>-890000</v>
      </c>
      <c r="BO17" s="8">
        <v>36573000</v>
      </c>
      <c r="BR17" t="e">
        <v>#VALUE!</v>
      </c>
      <c r="BS17">
        <v>1.0153127211002606E-2</v>
      </c>
      <c r="BT17">
        <v>3.0879763908955014E-3</v>
      </c>
      <c r="BU17">
        <v>1.0855645485912002E-2</v>
      </c>
      <c r="BV17">
        <v>7.4577111518953883E-3</v>
      </c>
      <c r="BW17">
        <v>1.1418734068631461E-2</v>
      </c>
      <c r="BX17">
        <v>1.4599261237150274E-2</v>
      </c>
      <c r="BZ17" t="e">
        <v>#VALUE!</v>
      </c>
      <c r="CA17">
        <v>0.62370393469361707</v>
      </c>
      <c r="CB17">
        <v>0.61349178467394916</v>
      </c>
      <c r="CC17">
        <v>0.60882161927644662</v>
      </c>
      <c r="CD17">
        <v>0.60489094122852849</v>
      </c>
      <c r="CE17">
        <v>0.60168393919705832</v>
      </c>
      <c r="CF17">
        <v>0.65303106962545154</v>
      </c>
      <c r="CH17" t="e">
        <v>#VALUE!</v>
      </c>
      <c r="CI17">
        <v>1.5755044747242892E-2</v>
      </c>
      <c r="CJ17">
        <v>1.4492811835229318E-2</v>
      </c>
      <c r="CK17">
        <v>1.5798509246419554E-2</v>
      </c>
      <c r="CL17">
        <v>1.4606729888940812E-2</v>
      </c>
      <c r="CM17">
        <v>1.7282980153058396E-2</v>
      </c>
      <c r="CN17">
        <v>2.045444267265176E-2</v>
      </c>
    </row>
    <row r="18" spans="1:92" ht="36" customHeight="1" x14ac:dyDescent="0.3">
      <c r="A18" s="6" t="s">
        <v>159</v>
      </c>
      <c r="B18" s="1" t="s">
        <v>160</v>
      </c>
      <c r="C18" s="1" t="s">
        <v>123</v>
      </c>
      <c r="D18" s="2" t="s">
        <v>124</v>
      </c>
      <c r="E18" s="7">
        <v>0.61317200000000005</v>
      </c>
      <c r="F18" s="7">
        <v>1.237555</v>
      </c>
      <c r="G18" s="7">
        <v>1.550543</v>
      </c>
      <c r="H18" s="7">
        <v>1.9795720000000001</v>
      </c>
      <c r="I18" s="7">
        <v>8.9075159999999993</v>
      </c>
      <c r="J18" s="7">
        <v>2.1217769999999998</v>
      </c>
      <c r="K18" s="7">
        <v>0.97598200000000002</v>
      </c>
      <c r="L18" s="7">
        <v>4.476782</v>
      </c>
      <c r="M18" s="7">
        <v>8.2181409999999993</v>
      </c>
      <c r="N18" s="7">
        <v>10.383634000000001</v>
      </c>
      <c r="O18" s="7">
        <v>13.919764000000001</v>
      </c>
      <c r="P18" s="7">
        <v>77.441359000000006</v>
      </c>
      <c r="Q18" s="7">
        <v>32.030707999999997</v>
      </c>
      <c r="R18" s="7">
        <v>23.436608</v>
      </c>
      <c r="S18" s="8">
        <v>12026196000</v>
      </c>
      <c r="T18" s="8">
        <v>10526024000</v>
      </c>
      <c r="U18" s="8">
        <v>9382261000</v>
      </c>
      <c r="V18" s="8">
        <v>9554330000</v>
      </c>
      <c r="W18" s="8">
        <v>8708914000</v>
      </c>
      <c r="X18" s="8">
        <v>6957720000</v>
      </c>
      <c r="Y18" s="8">
        <v>8309294000</v>
      </c>
      <c r="Z18" s="8">
        <v>49503000</v>
      </c>
      <c r="AA18" s="8">
        <v>-32566000</v>
      </c>
      <c r="AB18" s="8">
        <v>-39074000</v>
      </c>
      <c r="AC18" s="8">
        <v>-78390000</v>
      </c>
      <c r="AD18" s="8">
        <v>54882000</v>
      </c>
      <c r="AE18" s="8">
        <v>25273000</v>
      </c>
      <c r="AF18" s="8">
        <v>31299000</v>
      </c>
      <c r="AG18" s="8">
        <v>9164160000</v>
      </c>
      <c r="AH18" s="8">
        <v>7673273000</v>
      </c>
      <c r="AI18" s="8">
        <v>7278115000</v>
      </c>
      <c r="AJ18" s="8">
        <v>6402193000</v>
      </c>
      <c r="AK18" s="8">
        <v>5928212000</v>
      </c>
      <c r="AL18" s="8">
        <v>3437136000</v>
      </c>
      <c r="AM18" s="8">
        <v>2814330000</v>
      </c>
      <c r="AN18" s="7">
        <v>12.888215026597001</v>
      </c>
      <c r="AO18" s="7">
        <v>14.620458779117</v>
      </c>
      <c r="AP18" s="7">
        <v>15.550622605788</v>
      </c>
      <c r="AQ18" s="7">
        <v>14.325640835098</v>
      </c>
      <c r="AR18" s="7">
        <v>14.106833527119001</v>
      </c>
      <c r="AS18" s="7">
        <v>8.2421684114910008</v>
      </c>
      <c r="AT18" s="7">
        <v>5.2694007457190004</v>
      </c>
      <c r="AU18" s="7">
        <v>29.797128000000001</v>
      </c>
      <c r="AV18" s="7">
        <v>34.946519000000002</v>
      </c>
      <c r="AW18" s="7">
        <v>29.945774</v>
      </c>
      <c r="AX18" s="7">
        <v>32.32938</v>
      </c>
      <c r="AY18" s="7">
        <v>73.122299999999996</v>
      </c>
      <c r="AZ18" s="7">
        <v>49.271877000000003</v>
      </c>
      <c r="BA18" s="7">
        <v>23.315829000000001</v>
      </c>
      <c r="BB18" s="8">
        <v>483211000</v>
      </c>
      <c r="BC18" s="8">
        <v>521122000</v>
      </c>
      <c r="BD18" s="8">
        <v>472651000</v>
      </c>
      <c r="BE18" s="8">
        <v>461376000</v>
      </c>
      <c r="BF18" s="8">
        <v>997790000</v>
      </c>
      <c r="BG18" s="8">
        <v>411263000</v>
      </c>
      <c r="BH18" s="8">
        <v>284888000</v>
      </c>
      <c r="BI18" s="8">
        <v>69142000</v>
      </c>
      <c r="BJ18" s="8">
        <v>123188000</v>
      </c>
      <c r="BK18" s="8">
        <v>146810000</v>
      </c>
      <c r="BL18" s="8">
        <v>180767000</v>
      </c>
      <c r="BM18" s="8">
        <v>697754000</v>
      </c>
      <c r="BN18" s="8">
        <v>161966000</v>
      </c>
      <c r="BO18" s="8">
        <v>95876000</v>
      </c>
      <c r="BR18">
        <v>5.4018044206997698E-3</v>
      </c>
      <c r="BS18">
        <v>-4.2440820234077425E-3</v>
      </c>
      <c r="BT18">
        <v>-5.3686978015598822E-3</v>
      </c>
      <c r="BU18">
        <v>-1.2244241933974812E-2</v>
      </c>
      <c r="BV18">
        <v>9.257766085288447E-3</v>
      </c>
      <c r="BW18">
        <v>7.3529240623588944E-3</v>
      </c>
      <c r="BX18">
        <v>1.1121297076035859E-2</v>
      </c>
      <c r="BZ18">
        <v>0.76201651794133407</v>
      </c>
      <c r="CA18">
        <v>0.72898114235726619</v>
      </c>
      <c r="CB18">
        <v>0.77573145748130434</v>
      </c>
      <c r="CC18">
        <v>0.67008288388615422</v>
      </c>
      <c r="CD18">
        <v>0.68070622812442516</v>
      </c>
      <c r="CE18">
        <v>0.49400320794743108</v>
      </c>
      <c r="CF18">
        <v>0.33869664498572322</v>
      </c>
      <c r="CH18">
        <v>1.1972447495457415E-2</v>
      </c>
      <c r="CI18">
        <v>1.7301309472900688E-2</v>
      </c>
      <c r="CJ18">
        <v>1.5085809302122378E-2</v>
      </c>
      <c r="CK18">
        <v>1.5611769770229836E-2</v>
      </c>
      <c r="CL18">
        <v>8.3777035479969134E-2</v>
      </c>
      <c r="CM18">
        <v>2.9124052061093291E-2</v>
      </c>
      <c r="CN18">
        <v>7.9939401496107853E-3</v>
      </c>
    </row>
    <row r="19" spans="1:92" ht="36" customHeight="1" x14ac:dyDescent="0.3">
      <c r="A19" s="6" t="s">
        <v>161</v>
      </c>
      <c r="B19" s="1" t="s">
        <v>162</v>
      </c>
      <c r="C19" s="1" t="s">
        <v>123</v>
      </c>
      <c r="D19" s="2" t="s">
        <v>124</v>
      </c>
      <c r="E19" s="7">
        <v>0.86935499999999999</v>
      </c>
      <c r="F19" s="2" t="s">
        <v>129</v>
      </c>
      <c r="G19" s="2" t="s">
        <v>129</v>
      </c>
      <c r="H19" s="2" t="s">
        <v>129</v>
      </c>
      <c r="I19" s="2" t="s">
        <v>129</v>
      </c>
      <c r="J19" s="2" t="s">
        <v>129</v>
      </c>
      <c r="K19" s="2" t="s">
        <v>129</v>
      </c>
      <c r="L19" s="7">
        <v>5.5137700000000001</v>
      </c>
      <c r="M19" s="2" t="s">
        <v>129</v>
      </c>
      <c r="N19" s="2" t="s">
        <v>129</v>
      </c>
      <c r="O19" s="2" t="s">
        <v>129</v>
      </c>
      <c r="P19" s="2" t="s">
        <v>129</v>
      </c>
      <c r="Q19" s="2" t="s">
        <v>129</v>
      </c>
      <c r="R19" s="2" t="s">
        <v>129</v>
      </c>
      <c r="S19" s="8">
        <v>4126289000</v>
      </c>
      <c r="T19" s="8">
        <v>3025222000</v>
      </c>
      <c r="U19" s="2" t="s">
        <v>129</v>
      </c>
      <c r="V19" s="2" t="s">
        <v>129</v>
      </c>
      <c r="W19" s="2" t="s">
        <v>129</v>
      </c>
      <c r="X19" s="2" t="s">
        <v>129</v>
      </c>
      <c r="Y19" s="2" t="s">
        <v>129</v>
      </c>
      <c r="Z19" s="8">
        <v>-40182000</v>
      </c>
      <c r="AA19" s="8">
        <v>6672000</v>
      </c>
      <c r="AB19" s="2" t="s">
        <v>129</v>
      </c>
      <c r="AC19" s="2" t="s">
        <v>129</v>
      </c>
      <c r="AD19" s="2" t="s">
        <v>129</v>
      </c>
      <c r="AE19" s="2" t="s">
        <v>129</v>
      </c>
      <c r="AF19" s="2" t="s">
        <v>129</v>
      </c>
      <c r="AG19" s="8">
        <v>2314901000</v>
      </c>
      <c r="AH19" s="8">
        <v>1637864000</v>
      </c>
      <c r="AI19" s="2" t="s">
        <v>129</v>
      </c>
      <c r="AJ19" s="2" t="s">
        <v>129</v>
      </c>
      <c r="AK19" s="2" t="s">
        <v>129</v>
      </c>
      <c r="AL19" s="2" t="s">
        <v>129</v>
      </c>
      <c r="AM19" s="2" t="s">
        <v>129</v>
      </c>
      <c r="AN19" s="7">
        <v>14.131874912300001</v>
      </c>
      <c r="AO19" s="7">
        <v>17.997191611062</v>
      </c>
      <c r="AP19" s="2" t="s">
        <v>129</v>
      </c>
      <c r="AQ19" s="2" t="s">
        <v>129</v>
      </c>
      <c r="AR19" s="2" t="s">
        <v>129</v>
      </c>
      <c r="AS19" s="2" t="s">
        <v>129</v>
      </c>
      <c r="AT19" s="2" t="s">
        <v>129</v>
      </c>
      <c r="AU19" s="7">
        <v>22.711193000000002</v>
      </c>
      <c r="AV19" s="7">
        <v>29.610199000000001</v>
      </c>
      <c r="AW19" s="2" t="s">
        <v>129</v>
      </c>
      <c r="AX19" s="2" t="s">
        <v>129</v>
      </c>
      <c r="AY19" s="2" t="s">
        <v>129</v>
      </c>
      <c r="AZ19" s="2" t="s">
        <v>129</v>
      </c>
      <c r="BA19" s="2" t="s">
        <v>129</v>
      </c>
      <c r="BB19" s="8">
        <v>134273000</v>
      </c>
      <c r="BC19" s="8">
        <v>68240000</v>
      </c>
      <c r="BD19" s="2" t="s">
        <v>129</v>
      </c>
      <c r="BE19" s="2" t="s">
        <v>129</v>
      </c>
      <c r="BF19" s="2" t="s">
        <v>129</v>
      </c>
      <c r="BG19" s="2" t="s">
        <v>129</v>
      </c>
      <c r="BH19" s="2" t="s">
        <v>129</v>
      </c>
      <c r="BI19" s="8">
        <v>31086000</v>
      </c>
      <c r="BJ19" s="8">
        <v>-16140000</v>
      </c>
      <c r="BK19" s="2" t="s">
        <v>129</v>
      </c>
      <c r="BL19" s="2" t="s">
        <v>129</v>
      </c>
      <c r="BM19" s="2" t="s">
        <v>129</v>
      </c>
      <c r="BN19" s="2" t="s">
        <v>129</v>
      </c>
      <c r="BO19" s="2" t="s">
        <v>129</v>
      </c>
      <c r="BR19">
        <v>-1.7357977727773241E-2</v>
      </c>
      <c r="BS19">
        <v>4.0735982963176426E-3</v>
      </c>
      <c r="BT19" t="e">
        <v>#VALUE!</v>
      </c>
      <c r="BU19" t="e">
        <v>#VALUE!</v>
      </c>
      <c r="BV19" t="e">
        <v>#VALUE!</v>
      </c>
      <c r="BW19" t="e">
        <v>#VALUE!</v>
      </c>
      <c r="BX19" t="e">
        <v>#VALUE!</v>
      </c>
      <c r="BZ19">
        <v>0.56101281320818774</v>
      </c>
      <c r="CA19">
        <v>0.54140291191853029</v>
      </c>
      <c r="CB19" t="e">
        <v>#VALUE!</v>
      </c>
      <c r="CC19" t="e">
        <v>#VALUE!</v>
      </c>
      <c r="CD19" t="e">
        <v>#VALUE!</v>
      </c>
      <c r="CE19" t="e">
        <v>#VALUE!</v>
      </c>
      <c r="CF19" t="e">
        <v>#VALUE!</v>
      </c>
      <c r="CH19">
        <v>7.3904179219851061E-3</v>
      </c>
      <c r="CI19">
        <v>6.6791791801064518E-3</v>
      </c>
      <c r="CJ19" t="e">
        <v>#VALUE!</v>
      </c>
      <c r="CK19" t="e">
        <v>#VALUE!</v>
      </c>
      <c r="CL19" t="e">
        <v>#VALUE!</v>
      </c>
      <c r="CM19" t="e">
        <v>#VALUE!</v>
      </c>
      <c r="CN19" t="e">
        <v>#VALUE!</v>
      </c>
    </row>
    <row r="20" spans="1:92" ht="36" customHeight="1" x14ac:dyDescent="0.3">
      <c r="A20" s="6" t="s">
        <v>163</v>
      </c>
      <c r="B20" s="1" t="s">
        <v>164</v>
      </c>
      <c r="C20" s="1" t="s">
        <v>123</v>
      </c>
      <c r="D20" s="2" t="s">
        <v>124</v>
      </c>
      <c r="E20" s="7">
        <v>0.68345999999999996</v>
      </c>
      <c r="F20" s="7">
        <v>0.86455499999999996</v>
      </c>
      <c r="G20" s="7">
        <v>0.99619800000000003</v>
      </c>
      <c r="H20" s="7">
        <v>1.2437</v>
      </c>
      <c r="I20" s="7">
        <v>1.147713</v>
      </c>
      <c r="J20" s="7">
        <v>0.78376599999999996</v>
      </c>
      <c r="K20" s="7">
        <v>0.95671499999999998</v>
      </c>
      <c r="L20" s="7">
        <v>13.151586999999999</v>
      </c>
      <c r="M20" s="7">
        <v>17.994828999999999</v>
      </c>
      <c r="N20" s="7">
        <v>18.871148999999999</v>
      </c>
      <c r="O20" s="7">
        <v>21.513224000000001</v>
      </c>
      <c r="P20" s="7">
        <v>24.377513</v>
      </c>
      <c r="Q20" s="7">
        <v>26.199138000000001</v>
      </c>
      <c r="R20" s="7">
        <v>62.001015000000002</v>
      </c>
      <c r="S20" s="8">
        <v>3671371000</v>
      </c>
      <c r="T20" s="8">
        <v>3730081000</v>
      </c>
      <c r="U20" s="8">
        <v>3144903000</v>
      </c>
      <c r="V20" s="8">
        <v>2309233000</v>
      </c>
      <c r="W20" s="8">
        <v>1999363000</v>
      </c>
      <c r="X20" s="8">
        <v>2411670000</v>
      </c>
      <c r="Y20" s="8">
        <v>2081253000</v>
      </c>
      <c r="Z20" s="8">
        <v>10948000</v>
      </c>
      <c r="AA20" s="8">
        <v>8950000</v>
      </c>
      <c r="AB20" s="8">
        <v>6812000</v>
      </c>
      <c r="AC20" s="8">
        <v>5352000</v>
      </c>
      <c r="AD20" s="8">
        <v>9765000</v>
      </c>
      <c r="AE20" s="8">
        <v>5439000</v>
      </c>
      <c r="AF20" s="8">
        <v>3520000</v>
      </c>
      <c r="AG20" s="8">
        <v>3044764000</v>
      </c>
      <c r="AH20" s="8">
        <v>3030877000</v>
      </c>
      <c r="AI20" s="8">
        <v>2729831000</v>
      </c>
      <c r="AJ20" s="8">
        <v>1934469000</v>
      </c>
      <c r="AK20" s="8">
        <v>1348329000</v>
      </c>
      <c r="AL20" s="8">
        <v>1280122000</v>
      </c>
      <c r="AM20" s="8">
        <v>903438000</v>
      </c>
      <c r="AN20" s="7">
        <v>5.6514582699489999</v>
      </c>
      <c r="AO20" s="7">
        <v>4.7492802435119996</v>
      </c>
      <c r="AP20" s="7">
        <v>4.8699117270069996</v>
      </c>
      <c r="AQ20" s="7">
        <v>5.8360070205129997</v>
      </c>
      <c r="AR20" s="7">
        <v>5.7176710782380002</v>
      </c>
      <c r="AS20" s="7">
        <v>3.871093474646</v>
      </c>
      <c r="AT20" s="7">
        <v>1.972417577296</v>
      </c>
      <c r="AU20" s="7">
        <v>28.247512</v>
      </c>
      <c r="AV20" s="7">
        <v>21.521449</v>
      </c>
      <c r="AW20" s="7">
        <v>18.517992</v>
      </c>
      <c r="AX20" s="7">
        <v>14.748044999999999</v>
      </c>
      <c r="AY20" s="7">
        <v>13.921657</v>
      </c>
      <c r="AZ20" s="7">
        <v>19.862399</v>
      </c>
      <c r="BA20" s="7">
        <v>25.365552000000001</v>
      </c>
      <c r="BB20" s="8">
        <v>103510000</v>
      </c>
      <c r="BC20" s="8">
        <v>102823000</v>
      </c>
      <c r="BD20" s="8">
        <v>91511000</v>
      </c>
      <c r="BE20" s="8">
        <v>82872000</v>
      </c>
      <c r="BF20" s="8">
        <v>82483000</v>
      </c>
      <c r="BG20" s="8">
        <v>72383000</v>
      </c>
      <c r="BH20" s="8">
        <v>64765000</v>
      </c>
      <c r="BI20" s="8">
        <v>25293000</v>
      </c>
      <c r="BJ20" s="8">
        <v>29719000</v>
      </c>
      <c r="BK20" s="8">
        <v>27167000</v>
      </c>
      <c r="BL20" s="8">
        <v>26793000</v>
      </c>
      <c r="BM20" s="8">
        <v>25313000</v>
      </c>
      <c r="BN20" s="8">
        <v>17607000</v>
      </c>
      <c r="BO20" s="8">
        <v>19539000</v>
      </c>
      <c r="BR20">
        <v>3.5956809788870335E-3</v>
      </c>
      <c r="BS20">
        <v>2.9529406835051373E-3</v>
      </c>
      <c r="BT20">
        <v>2.4953925719211189E-3</v>
      </c>
      <c r="BU20">
        <v>2.7666506932910273E-3</v>
      </c>
      <c r="BV20">
        <v>7.2422976884721759E-3</v>
      </c>
      <c r="BW20">
        <v>4.2488137849361236E-3</v>
      </c>
      <c r="BX20">
        <v>3.8962275219771585E-3</v>
      </c>
      <c r="BZ20">
        <v>0.82932615635957252</v>
      </c>
      <c r="CA20">
        <v>0.81254991513589114</v>
      </c>
      <c r="CB20">
        <v>0.86801755093877297</v>
      </c>
      <c r="CC20">
        <v>0.83771061646875822</v>
      </c>
      <c r="CD20">
        <v>0.67437928980380246</v>
      </c>
      <c r="CE20">
        <v>0.53080313641584465</v>
      </c>
      <c r="CF20">
        <v>0.4340836986180921</v>
      </c>
      <c r="CH20">
        <v>7.9640547553488875E-3</v>
      </c>
      <c r="CI20">
        <v>5.9325788113636143E-3</v>
      </c>
      <c r="CJ20">
        <v>5.38840137807748E-3</v>
      </c>
      <c r="CK20">
        <v>5.2926663755454729E-3</v>
      </c>
      <c r="CL20">
        <v>5.7433294220759308E-3</v>
      </c>
      <c r="CM20">
        <v>5.96142932829533E-3</v>
      </c>
      <c r="CN20">
        <v>7.8933218367973519E-3</v>
      </c>
    </row>
    <row r="21" spans="1:92" ht="36" customHeight="1" x14ac:dyDescent="0.3">
      <c r="A21" s="6" t="s">
        <v>165</v>
      </c>
      <c r="B21" s="1" t="s">
        <v>166</v>
      </c>
      <c r="C21" s="1" t="s">
        <v>123</v>
      </c>
      <c r="D21" s="2" t="s">
        <v>124</v>
      </c>
      <c r="E21" s="7">
        <v>0.39489400000000002</v>
      </c>
      <c r="F21" s="7">
        <v>0.17436399999999999</v>
      </c>
      <c r="G21" s="7">
        <v>0.44570700000000002</v>
      </c>
      <c r="H21" s="7">
        <v>2.2189830000000001</v>
      </c>
      <c r="I21" s="7">
        <v>0.62358899999999995</v>
      </c>
      <c r="J21" s="7">
        <v>1.015212</v>
      </c>
      <c r="K21" s="7">
        <v>0.40846100000000002</v>
      </c>
      <c r="L21" s="7">
        <v>2.9993430000000001</v>
      </c>
      <c r="M21" s="7">
        <v>1.384816</v>
      </c>
      <c r="N21" s="7">
        <v>3.2341769999999999</v>
      </c>
      <c r="O21" s="7">
        <v>15.376110000000001</v>
      </c>
      <c r="P21" s="7">
        <v>3.8561860000000001</v>
      </c>
      <c r="Q21" s="7">
        <v>6.0287410000000001</v>
      </c>
      <c r="R21" s="7">
        <v>2.6222259999999999</v>
      </c>
      <c r="S21" s="8">
        <v>1842133000</v>
      </c>
      <c r="T21" s="8">
        <v>2097152000</v>
      </c>
      <c r="U21" s="8">
        <v>1919727000</v>
      </c>
      <c r="V21" s="8">
        <v>1810527000</v>
      </c>
      <c r="W21" s="8">
        <v>1811583000</v>
      </c>
      <c r="X21" s="8">
        <v>1379624000</v>
      </c>
      <c r="Y21" s="8">
        <v>1305135000</v>
      </c>
      <c r="Z21" s="8">
        <v>5561000</v>
      </c>
      <c r="AA21" s="8">
        <v>12167000</v>
      </c>
      <c r="AB21" s="8">
        <v>3228000</v>
      </c>
      <c r="AC21" s="8">
        <v>2340000</v>
      </c>
      <c r="AD21" s="8">
        <v>185000</v>
      </c>
      <c r="AE21" s="8">
        <v>1816000</v>
      </c>
      <c r="AF21" s="8">
        <v>1392000</v>
      </c>
      <c r="AG21" s="8">
        <v>1231173000</v>
      </c>
      <c r="AH21" s="8">
        <v>1414567000</v>
      </c>
      <c r="AI21" s="8">
        <v>1375171000</v>
      </c>
      <c r="AJ21" s="8">
        <v>370478000</v>
      </c>
      <c r="AK21" s="8">
        <v>315375000</v>
      </c>
      <c r="AL21" s="8">
        <v>292644000</v>
      </c>
      <c r="AM21" s="8">
        <v>287477000</v>
      </c>
      <c r="AN21" s="7">
        <v>14.260750988121</v>
      </c>
      <c r="AO21" s="7">
        <v>12.20440864563</v>
      </c>
      <c r="AP21" s="7">
        <v>13.013621207599</v>
      </c>
      <c r="AQ21" s="7">
        <v>14.594977042596</v>
      </c>
      <c r="AR21" s="7">
        <v>14.267853032403</v>
      </c>
      <c r="AS21" s="7">
        <v>18.670304372785999</v>
      </c>
      <c r="AT21" s="7">
        <v>14.90428193252</v>
      </c>
      <c r="AU21" s="7">
        <v>77.967465000000004</v>
      </c>
      <c r="AV21" s="7">
        <v>78.529240999999999</v>
      </c>
      <c r="AW21" s="7">
        <v>82.997978000000003</v>
      </c>
      <c r="AX21" s="7">
        <v>91.634720000000002</v>
      </c>
      <c r="AY21" s="7">
        <v>89.114689999999996</v>
      </c>
      <c r="AZ21" s="7">
        <v>85.501403999999994</v>
      </c>
      <c r="BA21" s="7">
        <v>75.290795000000003</v>
      </c>
      <c r="BB21" s="8">
        <v>73337000</v>
      </c>
      <c r="BC21" s="8">
        <v>75852000</v>
      </c>
      <c r="BD21" s="8">
        <v>73703000</v>
      </c>
      <c r="BE21" s="8">
        <v>107994000</v>
      </c>
      <c r="BF21" s="8">
        <v>71105000</v>
      </c>
      <c r="BG21" s="8">
        <v>66234000</v>
      </c>
      <c r="BH21" s="8">
        <v>50981000</v>
      </c>
      <c r="BI21" s="8">
        <v>7778000</v>
      </c>
      <c r="BJ21" s="8">
        <v>3502000</v>
      </c>
      <c r="BK21" s="8">
        <v>8313000</v>
      </c>
      <c r="BL21" s="8">
        <v>40187000</v>
      </c>
      <c r="BM21" s="8">
        <v>9950000</v>
      </c>
      <c r="BN21" s="8">
        <v>13628000</v>
      </c>
      <c r="BO21" s="8">
        <v>4984000</v>
      </c>
      <c r="BR21">
        <v>4.51683069722939E-3</v>
      </c>
      <c r="BS21">
        <v>8.6012186061176325E-3</v>
      </c>
      <c r="BT21">
        <v>2.3473444393460885E-3</v>
      </c>
      <c r="BU21">
        <v>6.3161645225897354E-3</v>
      </c>
      <c r="BV21">
        <v>5.8660325009908835E-4</v>
      </c>
      <c r="BW21">
        <v>6.2054919971022814E-3</v>
      </c>
      <c r="BX21">
        <v>4.8421265005548272E-3</v>
      </c>
      <c r="BZ21">
        <v>0.6683409938370356</v>
      </c>
      <c r="CA21">
        <v>0.67451810836791992</v>
      </c>
      <c r="CB21">
        <v>0.71633674996496899</v>
      </c>
      <c r="CC21">
        <v>0.20462439941519789</v>
      </c>
      <c r="CD21">
        <v>0.17408807656066544</v>
      </c>
      <c r="CE21">
        <v>0.21211866421575734</v>
      </c>
      <c r="CF21">
        <v>0.22026610274032954</v>
      </c>
      <c r="CH21">
        <v>3.1039561099578589E-2</v>
      </c>
      <c r="CI21">
        <v>2.8403282109889981E-2</v>
      </c>
      <c r="CJ21">
        <v>3.1864947320811764E-2</v>
      </c>
      <c r="CK21">
        <v>5.4658118612315641E-2</v>
      </c>
      <c r="CL21">
        <v>3.4977696481199035E-2</v>
      </c>
      <c r="CM21">
        <v>4.1048140598713846E-2</v>
      </c>
      <c r="CN21">
        <v>2.9409984560179597E-2</v>
      </c>
    </row>
    <row r="24" spans="1:92" ht="36" customHeight="1" x14ac:dyDescent="0.3">
      <c r="A24" s="6" t="s">
        <v>167</v>
      </c>
      <c r="B24" s="1" t="s">
        <v>168</v>
      </c>
      <c r="C24" s="1" t="s">
        <v>123</v>
      </c>
      <c r="D24" s="2" t="s">
        <v>149</v>
      </c>
      <c r="E24" s="7">
        <v>-49.785497999999997</v>
      </c>
      <c r="F24" s="2" t="s">
        <v>129</v>
      </c>
      <c r="G24" s="2" t="s">
        <v>129</v>
      </c>
      <c r="H24" s="7">
        <v>-36.714477000000002</v>
      </c>
      <c r="I24" s="2" t="s">
        <v>129</v>
      </c>
      <c r="J24" s="2" t="s">
        <v>129</v>
      </c>
      <c r="K24" s="2" t="s">
        <v>129</v>
      </c>
      <c r="L24" s="7">
        <v>-147.53488400000001</v>
      </c>
      <c r="M24" s="2" t="s">
        <v>129</v>
      </c>
      <c r="N24" s="2" t="s">
        <v>129</v>
      </c>
      <c r="O24" s="7">
        <v>-205.863067</v>
      </c>
      <c r="P24" s="2" t="s">
        <v>129</v>
      </c>
      <c r="Q24" s="2" t="s">
        <v>129</v>
      </c>
      <c r="R24" s="2" t="s">
        <v>129</v>
      </c>
      <c r="S24" s="8">
        <v>9064000</v>
      </c>
      <c r="T24" s="8">
        <v>10050000</v>
      </c>
      <c r="U24" s="2" t="s">
        <v>129</v>
      </c>
      <c r="V24" s="8">
        <v>15592000</v>
      </c>
      <c r="W24" s="8">
        <v>13481000</v>
      </c>
      <c r="X24" s="2" t="s">
        <v>129</v>
      </c>
      <c r="Y24" s="2" t="s">
        <v>129</v>
      </c>
      <c r="Z24" s="8">
        <v>-6000</v>
      </c>
      <c r="AA24" s="8">
        <v>102000</v>
      </c>
      <c r="AB24" s="2" t="s">
        <v>129</v>
      </c>
      <c r="AC24" s="8">
        <v>1755000</v>
      </c>
      <c r="AD24" s="8">
        <v>-576000</v>
      </c>
      <c r="AE24" s="2" t="s">
        <v>129</v>
      </c>
      <c r="AF24" s="2" t="s">
        <v>129</v>
      </c>
      <c r="AG24" s="8">
        <v>1046000</v>
      </c>
      <c r="AH24" s="8">
        <v>1352000</v>
      </c>
      <c r="AI24" s="2" t="s">
        <v>129</v>
      </c>
      <c r="AJ24" s="8">
        <v>904000</v>
      </c>
      <c r="AK24" s="8">
        <v>2169000</v>
      </c>
      <c r="AL24" s="2" t="s">
        <v>129</v>
      </c>
      <c r="AM24" s="2" t="s">
        <v>129</v>
      </c>
      <c r="AN24" s="7">
        <v>29.953662842012001</v>
      </c>
      <c r="AO24" s="7">
        <v>37.164179104478002</v>
      </c>
      <c r="AP24" s="2" t="s">
        <v>129</v>
      </c>
      <c r="AQ24" s="7">
        <v>11.986916367368</v>
      </c>
      <c r="AR24" s="7">
        <v>24.597581781767001</v>
      </c>
      <c r="AS24" s="2" t="s">
        <v>129</v>
      </c>
      <c r="AT24" s="2" t="s">
        <v>129</v>
      </c>
      <c r="AU24" s="7">
        <v>102.31311700000001</v>
      </c>
      <c r="AV24" s="7">
        <v>94.345785000000006</v>
      </c>
      <c r="AW24" s="2" t="s">
        <v>129</v>
      </c>
      <c r="AX24" s="7">
        <v>101.35561199999999</v>
      </c>
      <c r="AY24" s="7">
        <v>105.471621</v>
      </c>
      <c r="AZ24" s="2" t="s">
        <v>129</v>
      </c>
      <c r="BA24" s="2" t="s">
        <v>129</v>
      </c>
      <c r="BB24" s="8">
        <v>3545000</v>
      </c>
      <c r="BC24" s="8">
        <v>4899000</v>
      </c>
      <c r="BD24" s="2" t="s">
        <v>129</v>
      </c>
      <c r="BE24" s="8">
        <v>3172000</v>
      </c>
      <c r="BF24" s="8">
        <v>2449000</v>
      </c>
      <c r="BG24" s="2" t="s">
        <v>129</v>
      </c>
      <c r="BH24" s="2" t="s">
        <v>129</v>
      </c>
      <c r="BI24" s="8">
        <v>-4758000</v>
      </c>
      <c r="BJ24" s="8">
        <v>-5908000</v>
      </c>
      <c r="BK24" s="2" t="s">
        <v>129</v>
      </c>
      <c r="BL24" s="8">
        <v>-5337000</v>
      </c>
      <c r="BM24" s="8">
        <v>-2791000</v>
      </c>
      <c r="BN24" s="2" t="s">
        <v>129</v>
      </c>
      <c r="BO24" s="2" t="s">
        <v>129</v>
      </c>
    </row>
    <row r="29" spans="1:92" x14ac:dyDescent="0.3">
      <c r="D29" cm="1">
        <f t="array" ref="D29:J48">Z2:AF21/AG2:AM21</f>
        <v>8.9030232672215048E-3</v>
      </c>
      <c r="E29">
        <v>5.5795841093444565E-3</v>
      </c>
      <c r="F29">
        <v>6.7024379549944797E-3</v>
      </c>
      <c r="G29">
        <v>6.9735593541111933E-3</v>
      </c>
      <c r="H29">
        <v>9.0389607286131199E-3</v>
      </c>
      <c r="I29">
        <v>7.9203530905499909E-3</v>
      </c>
      <c r="J29">
        <v>1.2732092197480895E-2</v>
      </c>
      <c r="L29" cm="1">
        <f t="array" ref="L29:R48">AG2:AM21/S2:Y21</f>
        <v>0.48799637746929525</v>
      </c>
      <c r="M29">
        <v>0.47737977148315514</v>
      </c>
      <c r="N29">
        <v>0.47480039096713589</v>
      </c>
      <c r="O29">
        <v>0.47741952486067207</v>
      </c>
      <c r="P29">
        <v>0.46166798595577668</v>
      </c>
      <c r="Q29">
        <v>0.51337485662934101</v>
      </c>
      <c r="R29">
        <v>0.49839811765288267</v>
      </c>
      <c r="T29" cm="1">
        <f t="array" ref="T29:Z48">AU2:BA21/100</f>
        <v>0.58818565</v>
      </c>
      <c r="U29">
        <v>0.56034395000000004</v>
      </c>
      <c r="V29">
        <v>0.52236682999999995</v>
      </c>
      <c r="W29">
        <v>0.62747925000000004</v>
      </c>
      <c r="X29">
        <v>0.48601148</v>
      </c>
      <c r="Y29">
        <v>0.47703584999999998</v>
      </c>
      <c r="Z29">
        <v>0.44072237999999997</v>
      </c>
      <c r="AB29" cm="1">
        <f t="array" ref="AB29:AH48">_xlfn.ANCHORARRAY(T29)*BB2:BH21</f>
        <v>13242999909.75</v>
      </c>
      <c r="AC29">
        <v>10948000095.1</v>
      </c>
      <c r="AD29">
        <v>9914000066.5699997</v>
      </c>
      <c r="AE29">
        <v>14363000032.500002</v>
      </c>
      <c r="AF29">
        <v>8130000037.4399996</v>
      </c>
      <c r="AG29">
        <v>8330000012.6999998</v>
      </c>
      <c r="AH29">
        <v>7735999936.1399994</v>
      </c>
      <c r="AI29" s="1"/>
      <c r="AJ29" s="29"/>
      <c r="AK29" s="8"/>
    </row>
    <row r="30" spans="1:92" x14ac:dyDescent="0.3">
      <c r="D30">
        <v>9.8462792099209759E-3</v>
      </c>
      <c r="E30">
        <v>7.4335935162307964E-3</v>
      </c>
      <c r="F30">
        <v>5.6624054666205995E-3</v>
      </c>
      <c r="G30">
        <v>4.9558501275151663E-3</v>
      </c>
      <c r="H30">
        <v>2.8549141103640707E-2</v>
      </c>
      <c r="I30">
        <v>9.4881609002505658E-3</v>
      </c>
      <c r="J30">
        <v>9.4329585933777722E-3</v>
      </c>
      <c r="L30">
        <v>0.50592191150199262</v>
      </c>
      <c r="M30">
        <v>0.54680960723288929</v>
      </c>
      <c r="N30">
        <v>0.56344361502189455</v>
      </c>
      <c r="O30">
        <v>0.50412460849005358</v>
      </c>
      <c r="P30">
        <v>0.48615761450883316</v>
      </c>
      <c r="Q30">
        <v>0.48556073501914077</v>
      </c>
      <c r="R30">
        <v>0.52469767769176134</v>
      </c>
      <c r="T30">
        <v>0.47250610999999998</v>
      </c>
      <c r="U30">
        <v>0.49336621000000003</v>
      </c>
      <c r="V30">
        <v>0.49304474999999998</v>
      </c>
      <c r="W30">
        <v>0.48318676000000005</v>
      </c>
      <c r="X30">
        <v>0.48266686999999997</v>
      </c>
      <c r="Y30">
        <v>0.45799314000000002</v>
      </c>
      <c r="Z30">
        <v>0.48478299000000002</v>
      </c>
      <c r="AB30">
        <v>8507000004.4399996</v>
      </c>
      <c r="AC30">
        <v>10002999907.75</v>
      </c>
      <c r="AD30">
        <v>10456000013.25</v>
      </c>
      <c r="AE30">
        <v>9628017068.32728</v>
      </c>
      <c r="AF30">
        <v>9616342915.0819798</v>
      </c>
      <c r="AG30">
        <v>9011031059.259901</v>
      </c>
      <c r="AH30">
        <v>11349338931.13026</v>
      </c>
      <c r="AI30" s="1"/>
    </row>
    <row r="31" spans="1:92" x14ac:dyDescent="0.3">
      <c r="D31">
        <v>8.2901035540175212E-3</v>
      </c>
      <c r="E31">
        <v>6.2017095503842084E-3</v>
      </c>
      <c r="F31">
        <v>1.4755197895152112E-2</v>
      </c>
      <c r="G31">
        <v>1.2053302533312065E-2</v>
      </c>
      <c r="H31">
        <v>2.6758358997604859E-2</v>
      </c>
      <c r="I31" t="e">
        <v>#VALUE!</v>
      </c>
      <c r="J31" t="e">
        <v>#VALUE!</v>
      </c>
      <c r="L31">
        <v>0.68901512697959488</v>
      </c>
      <c r="M31">
        <v>0.69960934864235036</v>
      </c>
      <c r="N31">
        <v>0.70734563197729772</v>
      </c>
      <c r="O31">
        <v>0.73763946568867633</v>
      </c>
      <c r="P31">
        <v>0.65704215959925572</v>
      </c>
      <c r="Q31" t="e">
        <v>#VALUE!</v>
      </c>
      <c r="R31" t="e">
        <v>#VALUE!</v>
      </c>
      <c r="T31">
        <v>0.51514124000000006</v>
      </c>
      <c r="U31">
        <v>0.55450142000000002</v>
      </c>
      <c r="V31">
        <v>0.51807764000000001</v>
      </c>
      <c r="W31">
        <v>0.51701306000000002</v>
      </c>
      <c r="X31">
        <v>0.55611436000000003</v>
      </c>
      <c r="Y31" t="e">
        <v>#VALUE!</v>
      </c>
      <c r="Z31" t="e">
        <v>#VALUE!</v>
      </c>
      <c r="AB31">
        <v>2078801990.1784801</v>
      </c>
      <c r="AC31">
        <v>2486803015.8520999</v>
      </c>
      <c r="AD31">
        <v>2464556984.7191601</v>
      </c>
      <c r="AE31">
        <v>2262337992.7521</v>
      </c>
      <c r="AF31">
        <v>2640684013.3138003</v>
      </c>
      <c r="AG31" t="e">
        <v>#VALUE!</v>
      </c>
      <c r="AH31" t="e">
        <v>#VALUE!</v>
      </c>
      <c r="AI31" s="1"/>
    </row>
    <row r="32" spans="1:92" x14ac:dyDescent="0.3">
      <c r="D32">
        <v>8.9710914126122487E-3</v>
      </c>
      <c r="E32">
        <v>7.1098633715078524E-3</v>
      </c>
      <c r="F32">
        <v>7.2995879985002475E-3</v>
      </c>
      <c r="G32">
        <v>6.4953021161439972E-2</v>
      </c>
      <c r="H32">
        <v>4.5657319749432095E-2</v>
      </c>
      <c r="I32">
        <v>1.8664008284107879E-2</v>
      </c>
      <c r="J32">
        <v>6.7698152208089904E-2</v>
      </c>
      <c r="L32">
        <v>0.55553276078191516</v>
      </c>
      <c r="M32">
        <v>0.64191707394006237</v>
      </c>
      <c r="N32">
        <v>0.6373165685126615</v>
      </c>
      <c r="O32">
        <v>0.58878262179841478</v>
      </c>
      <c r="P32">
        <v>0.63871947248773209</v>
      </c>
      <c r="Q32">
        <v>0.63120027878260954</v>
      </c>
      <c r="R32">
        <v>0.62980562174611898</v>
      </c>
      <c r="T32">
        <v>0.59419601</v>
      </c>
      <c r="U32">
        <v>0.58099402</v>
      </c>
      <c r="V32">
        <v>0.52734267000000001</v>
      </c>
      <c r="W32">
        <v>0.59286563999999997</v>
      </c>
      <c r="X32">
        <v>0.57368001000000002</v>
      </c>
      <c r="Y32">
        <v>0.59920163000000004</v>
      </c>
      <c r="Z32">
        <v>0.53410603000000001</v>
      </c>
      <c r="AB32">
        <v>1861707011.31953</v>
      </c>
      <c r="AC32">
        <v>2066526009.8576</v>
      </c>
      <c r="AD32">
        <v>1917583006.37571</v>
      </c>
      <c r="AE32">
        <v>2561990012.12988</v>
      </c>
      <c r="AF32">
        <v>2694025995.2004299</v>
      </c>
      <c r="AG32">
        <v>3333098014.9809504</v>
      </c>
      <c r="AH32">
        <v>2446752007.86869</v>
      </c>
      <c r="AI32" s="1"/>
    </row>
    <row r="33" spans="4:35" x14ac:dyDescent="0.3">
      <c r="D33">
        <v>8.2660124559862675E-3</v>
      </c>
      <c r="E33">
        <v>7.4736039988983977E-3</v>
      </c>
      <c r="F33">
        <v>4.2967454530208702E-3</v>
      </c>
      <c r="G33">
        <v>1.108400022938333E-2</v>
      </c>
      <c r="H33">
        <v>1.362262191828981E-2</v>
      </c>
      <c r="I33">
        <v>1.6150060404926843E-2</v>
      </c>
      <c r="J33">
        <v>1.8556931617907689E-2</v>
      </c>
      <c r="L33">
        <v>0.70450547688780618</v>
      </c>
      <c r="M33">
        <v>0.75770013368255573</v>
      </c>
      <c r="N33">
        <v>0.74389550969991869</v>
      </c>
      <c r="O33">
        <v>0.67783215101985095</v>
      </c>
      <c r="P33">
        <v>0.70034116674587432</v>
      </c>
      <c r="Q33">
        <v>0.71338039224187322</v>
      </c>
      <c r="R33">
        <v>0.72208869746089721</v>
      </c>
      <c r="T33">
        <v>0.54763737999999995</v>
      </c>
      <c r="U33">
        <v>0.53310513000000004</v>
      </c>
      <c r="V33">
        <v>0.50613961000000007</v>
      </c>
      <c r="W33">
        <v>0.48903646000000001</v>
      </c>
      <c r="X33">
        <v>0.47286825999999998</v>
      </c>
      <c r="Y33">
        <v>0.51581601999999993</v>
      </c>
      <c r="Z33">
        <v>0.46547368</v>
      </c>
      <c r="AB33">
        <v>1499802992.22102</v>
      </c>
      <c r="AC33">
        <v>1329682010.4537301</v>
      </c>
      <c r="AD33">
        <v>1150344995.0950201</v>
      </c>
      <c r="AE33">
        <v>1076224004.6313801</v>
      </c>
      <c r="AF33">
        <v>1049959994.58182</v>
      </c>
      <c r="AG33">
        <v>1307737007.5535598</v>
      </c>
      <c r="AH33">
        <v>1124926999.5084801</v>
      </c>
      <c r="AI33" s="1"/>
    </row>
    <row r="34" spans="4:35" x14ac:dyDescent="0.3">
      <c r="D34">
        <v>8.1002041539384138E-3</v>
      </c>
      <c r="E34">
        <v>4.5442700804005096E-3</v>
      </c>
      <c r="F34">
        <v>5.1621851746391986E-3</v>
      </c>
      <c r="G34">
        <v>7.5047561963148208E-3</v>
      </c>
      <c r="H34">
        <v>1.1619405563948856E-2</v>
      </c>
      <c r="I34">
        <v>1.4041677565455169E-2</v>
      </c>
      <c r="J34">
        <v>2.1292135304799027E-2</v>
      </c>
      <c r="L34">
        <v>0.62166344847695043</v>
      </c>
      <c r="M34">
        <v>0.58923373611531071</v>
      </c>
      <c r="N34">
        <v>0.56059732182846478</v>
      </c>
      <c r="O34">
        <v>0.54063845666705146</v>
      </c>
      <c r="P34">
        <v>0.49147939865025947</v>
      </c>
      <c r="Q34">
        <v>0.47280897757109125</v>
      </c>
      <c r="R34">
        <v>0.45478365487914196</v>
      </c>
      <c r="T34">
        <v>0.38252149000000002</v>
      </c>
      <c r="U34">
        <v>0.38141765999999999</v>
      </c>
      <c r="V34">
        <v>0.40380938999999999</v>
      </c>
      <c r="W34">
        <v>0.46516914999999998</v>
      </c>
      <c r="X34">
        <v>0.38247978000000005</v>
      </c>
      <c r="Y34">
        <v>0.4179387</v>
      </c>
      <c r="Z34">
        <v>0.42177208999999999</v>
      </c>
      <c r="AB34">
        <v>893115000.06690001</v>
      </c>
      <c r="AC34">
        <v>865828005.05915999</v>
      </c>
      <c r="AD34">
        <v>925241994.35676003</v>
      </c>
      <c r="AE34">
        <v>1111130011.5007</v>
      </c>
      <c r="AF34">
        <v>743568995.8237201</v>
      </c>
      <c r="AG34">
        <v>820361007.82379997</v>
      </c>
      <c r="AH34">
        <v>773867008.95991004</v>
      </c>
      <c r="AI34" s="1"/>
    </row>
    <row r="35" spans="4:35" x14ac:dyDescent="0.3">
      <c r="D35" t="e">
        <v>#VALUE!</v>
      </c>
      <c r="E35" t="e">
        <v>#VALUE!</v>
      </c>
      <c r="F35">
        <v>6.9454845482987502E-3</v>
      </c>
      <c r="G35">
        <v>8.8009596521089611E-3</v>
      </c>
      <c r="H35">
        <v>9.9799396434706398E-3</v>
      </c>
      <c r="I35">
        <v>1.2840000789779722E-2</v>
      </c>
      <c r="J35">
        <v>1.6495107922488074E-2</v>
      </c>
      <c r="L35" t="e">
        <v>#VALUE!</v>
      </c>
      <c r="M35" t="e">
        <v>#VALUE!</v>
      </c>
      <c r="N35">
        <v>0.80479084149382429</v>
      </c>
      <c r="O35">
        <v>0.77565349758867763</v>
      </c>
      <c r="P35">
        <v>0.77505454151960729</v>
      </c>
      <c r="Q35">
        <v>0.78100042973395589</v>
      </c>
      <c r="R35">
        <v>0.77179249567108321</v>
      </c>
      <c r="T35" t="e">
        <v>#VALUE!</v>
      </c>
      <c r="U35" t="e">
        <v>#VALUE!</v>
      </c>
      <c r="V35">
        <v>0.43907567000000003</v>
      </c>
      <c r="W35">
        <v>0.45420095999999999</v>
      </c>
      <c r="X35">
        <v>0.43778270999999996</v>
      </c>
      <c r="Y35">
        <v>0.41587612000000002</v>
      </c>
      <c r="Z35">
        <v>0.37645774000000004</v>
      </c>
      <c r="AB35" t="e">
        <v>#VALUE!</v>
      </c>
      <c r="AC35" t="e">
        <v>#VALUE!</v>
      </c>
      <c r="AD35">
        <v>1119685987.9156601</v>
      </c>
      <c r="AE35">
        <v>1175348996.01984</v>
      </c>
      <c r="AF35">
        <v>1141246991.0447998</v>
      </c>
      <c r="AG35">
        <v>1114243996.15628</v>
      </c>
      <c r="AH35">
        <v>1037602987.3469801</v>
      </c>
      <c r="AI35" s="1"/>
    </row>
    <row r="36" spans="4:35" x14ac:dyDescent="0.3">
      <c r="D36">
        <v>8.1023162675872946E-4</v>
      </c>
      <c r="E36">
        <v>8.0518166552907356E-4</v>
      </c>
      <c r="F36">
        <v>6.9844886129313323E-4</v>
      </c>
      <c r="G36">
        <v>1.4701553004364456E-3</v>
      </c>
      <c r="H36">
        <v>1.408552238371008E-3</v>
      </c>
      <c r="I36">
        <v>1.7715828899329438E-3</v>
      </c>
      <c r="J36">
        <v>2.6151823049132203E-3</v>
      </c>
      <c r="L36">
        <v>0.47610982904924465</v>
      </c>
      <c r="M36">
        <v>0.46010641114836781</v>
      </c>
      <c r="N36">
        <v>0.45317762042826326</v>
      </c>
      <c r="O36">
        <v>0.21550445184442404</v>
      </c>
      <c r="P36">
        <v>0.18640415750168687</v>
      </c>
      <c r="Q36">
        <v>0.16619580810818191</v>
      </c>
      <c r="R36">
        <v>0.15506370415147838</v>
      </c>
      <c r="T36">
        <v>0.74470411999999997</v>
      </c>
      <c r="U36">
        <v>0.79685582999999993</v>
      </c>
      <c r="V36">
        <v>0.7719819</v>
      </c>
      <c r="W36">
        <v>0.77993606999999998</v>
      </c>
      <c r="X36">
        <v>0.73731564999999999</v>
      </c>
      <c r="Y36">
        <v>0.72870632000000002</v>
      </c>
      <c r="Z36">
        <v>0.67370624000000001</v>
      </c>
      <c r="AB36">
        <v>930655994.05988002</v>
      </c>
      <c r="AC36">
        <v>1197145997.0747099</v>
      </c>
      <c r="AD36">
        <v>781203995.77740002</v>
      </c>
      <c r="AE36">
        <v>803759997.19421995</v>
      </c>
      <c r="AF36">
        <v>778827995.7263</v>
      </c>
      <c r="AG36">
        <v>854191005.71664</v>
      </c>
      <c r="AH36">
        <v>682552002.93120003</v>
      </c>
      <c r="AI36" s="1"/>
    </row>
    <row r="37" spans="4:35" x14ac:dyDescent="0.3">
      <c r="D37">
        <v>3.0248722583384783E-3</v>
      </c>
      <c r="E37">
        <v>2.1189900152016922E-3</v>
      </c>
      <c r="F37">
        <v>2.3085871859434243E-3</v>
      </c>
      <c r="G37">
        <v>3.2549284281440834E-3</v>
      </c>
      <c r="H37">
        <v>3.3541516085308109E-3</v>
      </c>
      <c r="I37">
        <v>5.0502013431352735E-3</v>
      </c>
      <c r="J37">
        <v>5.4325706335073085E-3</v>
      </c>
      <c r="L37">
        <v>0.60658350197779376</v>
      </c>
      <c r="M37">
        <v>0.62257582859671634</v>
      </c>
      <c r="N37">
        <v>0.6438966673715083</v>
      </c>
      <c r="O37">
        <v>0.5944521379984069</v>
      </c>
      <c r="P37">
        <v>0.59863381043453856</v>
      </c>
      <c r="Q37">
        <v>0.6047046317956436</v>
      </c>
      <c r="R37">
        <v>0.61815851031637592</v>
      </c>
      <c r="T37">
        <v>0.59666353000000005</v>
      </c>
      <c r="U37">
        <v>0.60201168000000005</v>
      </c>
      <c r="V37">
        <v>0.61793732000000001</v>
      </c>
      <c r="W37">
        <v>0.57416331999999992</v>
      </c>
      <c r="X37">
        <v>0.58990531000000002</v>
      </c>
      <c r="Y37">
        <v>0.60738684999999992</v>
      </c>
      <c r="Z37">
        <v>0.52417672999999998</v>
      </c>
      <c r="AB37">
        <v>784458006.09573007</v>
      </c>
      <c r="AC37">
        <v>798060997.67376006</v>
      </c>
      <c r="AD37">
        <v>788314997.87040007</v>
      </c>
      <c r="AE37">
        <v>726041001.40639985</v>
      </c>
      <c r="AF37">
        <v>722879995.26427007</v>
      </c>
      <c r="AG37">
        <v>752493998.01239991</v>
      </c>
      <c r="AH37">
        <v>613464994.1882</v>
      </c>
      <c r="AI37" s="1"/>
    </row>
    <row r="38" spans="4:35" x14ac:dyDescent="0.3">
      <c r="D38">
        <v>3.9464079414820424E-3</v>
      </c>
      <c r="E38">
        <v>6.6289369309167432E-3</v>
      </c>
      <c r="F38">
        <v>7.9007519668544517E-3</v>
      </c>
      <c r="G38">
        <v>9.4452510724402482E-3</v>
      </c>
      <c r="H38">
        <v>1.0161519658695859E-2</v>
      </c>
      <c r="I38">
        <v>1.6744307106039837E-2</v>
      </c>
      <c r="J38">
        <v>1.9811973999783131E-2</v>
      </c>
      <c r="L38">
        <v>0.71932341967832736</v>
      </c>
      <c r="M38">
        <v>0.78485312455061151</v>
      </c>
      <c r="N38">
        <v>0.74253811589303054</v>
      </c>
      <c r="O38">
        <v>0.58941592643628937</v>
      </c>
      <c r="P38">
        <v>0.66165290873476579</v>
      </c>
      <c r="Q38">
        <v>0.65537491395041114</v>
      </c>
      <c r="R38">
        <v>0.65764116396019223</v>
      </c>
      <c r="T38">
        <v>0.45022568000000002</v>
      </c>
      <c r="U38">
        <v>0.53283332999999999</v>
      </c>
      <c r="V38">
        <v>0.45954610000000001</v>
      </c>
      <c r="W38">
        <v>0.52923485000000003</v>
      </c>
      <c r="X38">
        <v>0.50753265000000003</v>
      </c>
      <c r="Y38">
        <v>0.52629285000000003</v>
      </c>
      <c r="Z38">
        <v>0.49634224999999998</v>
      </c>
      <c r="AB38">
        <v>401282997.00424004</v>
      </c>
      <c r="AC38">
        <v>525086999.04846001</v>
      </c>
      <c r="AD38">
        <v>432068000.49660003</v>
      </c>
      <c r="AE38">
        <v>550771003.75105</v>
      </c>
      <c r="AF38">
        <v>488758002.2112</v>
      </c>
      <c r="AG38">
        <v>603690002.81385005</v>
      </c>
      <c r="AH38">
        <v>582339997.26174998</v>
      </c>
      <c r="AI38" s="1"/>
    </row>
    <row r="39" spans="4:35" x14ac:dyDescent="0.3">
      <c r="D39">
        <v>4.6262413715449557E-4</v>
      </c>
      <c r="E39">
        <v>-3.2365702345670878E-4</v>
      </c>
      <c r="F39">
        <v>3.1890693011163055E-4</v>
      </c>
      <c r="G39">
        <v>7.9328786946305206E-4</v>
      </c>
      <c r="H39" t="e">
        <v>#VALUE!</v>
      </c>
      <c r="I39" t="e">
        <v>#VALUE!</v>
      </c>
      <c r="J39" t="e">
        <v>#VALUE!</v>
      </c>
      <c r="L39">
        <v>0.65136724694557713</v>
      </c>
      <c r="M39">
        <v>0.59295614833964227</v>
      </c>
      <c r="N39">
        <v>0.4318275897063919</v>
      </c>
      <c r="O39">
        <v>0.30227424969231659</v>
      </c>
      <c r="P39" t="e">
        <v>#VALUE!</v>
      </c>
      <c r="Q39" t="e">
        <v>#VALUE!</v>
      </c>
      <c r="R39" t="e">
        <v>#VALUE!</v>
      </c>
      <c r="T39">
        <v>0.69791247000000001</v>
      </c>
      <c r="U39">
        <v>0.63025578000000004</v>
      </c>
      <c r="V39">
        <v>0.61506360000000004</v>
      </c>
      <c r="W39">
        <v>0.66054413999999995</v>
      </c>
      <c r="X39" t="e">
        <v>#VALUE!</v>
      </c>
      <c r="Y39" t="e">
        <v>#VALUE!</v>
      </c>
      <c r="Z39" t="e">
        <v>#VALUE!</v>
      </c>
      <c r="AB39">
        <v>618400000.20536995</v>
      </c>
      <c r="AC39">
        <v>479457000.54252005</v>
      </c>
      <c r="AD39">
        <v>445247000.29440004</v>
      </c>
      <c r="AE39">
        <v>515234997.90623999</v>
      </c>
      <c r="AF39" t="e">
        <v>#VALUE!</v>
      </c>
      <c r="AG39" t="e">
        <v>#VALUE!</v>
      </c>
      <c r="AH39" t="e">
        <v>#VALUE!</v>
      </c>
      <c r="AI39" s="1"/>
    </row>
    <row r="40" spans="4:35" x14ac:dyDescent="0.3">
      <c r="D40">
        <v>5.8714757482873862E-3</v>
      </c>
      <c r="E40">
        <v>7.9971609406690874E-3</v>
      </c>
      <c r="F40">
        <v>6.6277931223191417E-3</v>
      </c>
      <c r="G40">
        <v>2.2465194803893574E-2</v>
      </c>
      <c r="H40">
        <v>2.6995195678179446E-2</v>
      </c>
      <c r="I40">
        <v>2.4092220945238954E-2</v>
      </c>
      <c r="J40">
        <v>3.5661748998617168E-2</v>
      </c>
      <c r="L40">
        <v>0.80527364248198363</v>
      </c>
      <c r="M40">
        <v>0.79788483976992608</v>
      </c>
      <c r="N40">
        <v>0.79241802177181309</v>
      </c>
      <c r="O40">
        <v>0.63986026427080622</v>
      </c>
      <c r="P40">
        <v>0.67933669105417593</v>
      </c>
      <c r="Q40">
        <v>0.67889921079652982</v>
      </c>
      <c r="R40">
        <v>0.6311821074774665</v>
      </c>
      <c r="T40">
        <v>0.47666663999999997</v>
      </c>
      <c r="U40">
        <v>0.49427635000000003</v>
      </c>
      <c r="V40">
        <v>0.43628216000000003</v>
      </c>
      <c r="W40">
        <v>0.30879866</v>
      </c>
      <c r="X40">
        <v>0.45350811000000002</v>
      </c>
      <c r="Y40">
        <v>0.49186560999999995</v>
      </c>
      <c r="Z40">
        <v>0.50824311999999994</v>
      </c>
      <c r="AB40">
        <v>309849999.33239996</v>
      </c>
      <c r="AC40">
        <v>339598003.30735004</v>
      </c>
      <c r="AD40">
        <v>283414999.08623999</v>
      </c>
      <c r="AE40">
        <v>175112000.11950001</v>
      </c>
      <c r="AF40">
        <v>349944998.00040001</v>
      </c>
      <c r="AG40">
        <v>449635996.18783998</v>
      </c>
      <c r="AH40">
        <v>495225997.21055996</v>
      </c>
      <c r="AI40" s="1"/>
    </row>
    <row r="41" spans="4:35" x14ac:dyDescent="0.3">
      <c r="D41">
        <v>7.66382222128762E-3</v>
      </c>
      <c r="E41">
        <v>3.6528703742024105E-2</v>
      </c>
      <c r="F41">
        <v>1.556050027539862E-2</v>
      </c>
      <c r="G41">
        <v>2.7136142629517173E-2</v>
      </c>
      <c r="H41">
        <v>2.574748331540918E-2</v>
      </c>
      <c r="I41">
        <v>1.5650945232741353E-2</v>
      </c>
      <c r="J41">
        <v>3.2302940165196983E-2</v>
      </c>
      <c r="L41">
        <v>0.54396634697876134</v>
      </c>
      <c r="M41">
        <v>0.5574159112116257</v>
      </c>
      <c r="N41">
        <v>0.70979937888850952</v>
      </c>
      <c r="O41">
        <v>0.63218784621197743</v>
      </c>
      <c r="P41">
        <v>0.69879836868777623</v>
      </c>
      <c r="Q41">
        <v>0.67248132303093355</v>
      </c>
      <c r="R41">
        <v>0.52163316415014949</v>
      </c>
      <c r="T41">
        <v>0.71738504000000003</v>
      </c>
      <c r="U41">
        <v>0.70020796000000007</v>
      </c>
      <c r="V41">
        <v>0.51911295999999996</v>
      </c>
      <c r="W41">
        <v>0.49451265</v>
      </c>
      <c r="X41">
        <v>0.61388830999999999</v>
      </c>
      <c r="Y41">
        <v>0.58290750999999996</v>
      </c>
      <c r="Z41">
        <v>0.57339461000000003</v>
      </c>
      <c r="AB41">
        <v>313799998.96688002</v>
      </c>
      <c r="AC41">
        <v>288555000.10804003</v>
      </c>
      <c r="AD41">
        <v>244645998.44991997</v>
      </c>
      <c r="AE41">
        <v>228540999.24810001</v>
      </c>
      <c r="AF41">
        <v>411784000.58179998</v>
      </c>
      <c r="AG41">
        <v>462343000.98416996</v>
      </c>
      <c r="AH41">
        <v>475265003.23382002</v>
      </c>
    </row>
    <row r="42" spans="4:35" x14ac:dyDescent="0.3">
      <c r="D42">
        <v>5.5313711720263144E-3</v>
      </c>
      <c r="E42">
        <v>4.3936335355986853E-3</v>
      </c>
      <c r="F42">
        <v>5.2277926303400356E-3</v>
      </c>
      <c r="G42">
        <v>7.5377171953714579E-3</v>
      </c>
      <c r="H42">
        <v>9.4798014434984874E-3</v>
      </c>
      <c r="I42">
        <v>1.5280657118648636E-2</v>
      </c>
      <c r="J42">
        <v>1.5894109957196142E-2</v>
      </c>
      <c r="L42">
        <v>0.827820588498551</v>
      </c>
      <c r="M42">
        <v>0.84798713534368719</v>
      </c>
      <c r="N42">
        <v>0.88703976091774006</v>
      </c>
      <c r="O42">
        <v>0.74922830541857421</v>
      </c>
      <c r="P42">
        <v>0.76892298120080682</v>
      </c>
      <c r="Q42">
        <v>0.76634645451999617</v>
      </c>
      <c r="R42">
        <v>0.75364435710266187</v>
      </c>
      <c r="T42">
        <v>0.48576469999999999</v>
      </c>
      <c r="U42">
        <v>0.49798084000000004</v>
      </c>
      <c r="V42">
        <v>0.47631729</v>
      </c>
      <c r="W42">
        <v>0.50738784000000003</v>
      </c>
      <c r="X42">
        <v>0.49191816999999999</v>
      </c>
      <c r="Y42">
        <v>0.48935501000000003</v>
      </c>
      <c r="Z42">
        <v>0.51556908999999995</v>
      </c>
      <c r="AB42">
        <v>210067001.4562</v>
      </c>
      <c r="AC42">
        <v>216415999.31308001</v>
      </c>
      <c r="AD42">
        <v>199254001.38738</v>
      </c>
      <c r="AE42">
        <v>238177999.85280001</v>
      </c>
      <c r="AF42">
        <v>228677999.68790001</v>
      </c>
      <c r="AG42">
        <v>250630998.05166003</v>
      </c>
      <c r="AH42">
        <v>242335001.64905998</v>
      </c>
    </row>
    <row r="43" spans="4:35" x14ac:dyDescent="0.3">
      <c r="D43">
        <v>9.4310875036637777E-5</v>
      </c>
      <c r="E43">
        <v>8.1385595957708017E-4</v>
      </c>
      <c r="F43">
        <v>9.0406171554432979E-4</v>
      </c>
      <c r="G43">
        <v>6.2104346994799539E-4</v>
      </c>
      <c r="H43">
        <v>-1.0207622293532108E-3</v>
      </c>
      <c r="I43">
        <v>5.8324054900573351E-4</v>
      </c>
      <c r="J43">
        <v>4.1950818932354446E-3</v>
      </c>
      <c r="L43">
        <v>0.62684403849771753</v>
      </c>
      <c r="M43">
        <v>0.58388692572297352</v>
      </c>
      <c r="N43">
        <v>0.56817607093914535</v>
      </c>
      <c r="O43">
        <v>0.32343515095243458</v>
      </c>
      <c r="P43">
        <v>0.22519883662698412</v>
      </c>
      <c r="Q43">
        <v>0.31426008135687</v>
      </c>
      <c r="R43">
        <v>0.29232731570458925</v>
      </c>
      <c r="T43">
        <v>0.87414941999999995</v>
      </c>
      <c r="U43">
        <v>0.88890657000000006</v>
      </c>
      <c r="V43">
        <v>0.88817223999999995</v>
      </c>
      <c r="W43">
        <v>0.88846254000000002</v>
      </c>
      <c r="X43">
        <v>0.87008295999999996</v>
      </c>
      <c r="Y43">
        <v>0.87153451000000004</v>
      </c>
      <c r="Z43">
        <v>0.76941906999999998</v>
      </c>
      <c r="AB43">
        <v>622661002.61309993</v>
      </c>
      <c r="AC43">
        <v>592226002.10337007</v>
      </c>
      <c r="AD43">
        <v>476317002.41735995</v>
      </c>
      <c r="AE43">
        <v>489254997.67704004</v>
      </c>
      <c r="AF43">
        <v>392878999.92431998</v>
      </c>
      <c r="AG43">
        <v>449317002.02697003</v>
      </c>
      <c r="AH43">
        <v>357061999.55768996</v>
      </c>
    </row>
    <row r="44" spans="4:35" x14ac:dyDescent="0.3">
      <c r="D44" t="e">
        <v>#VALUE!</v>
      </c>
      <c r="E44">
        <v>1.0153127211002606E-2</v>
      </c>
      <c r="F44">
        <v>3.0879763908955014E-3</v>
      </c>
      <c r="G44">
        <v>1.0855645485912002E-2</v>
      </c>
      <c r="H44">
        <v>7.4577111518953883E-3</v>
      </c>
      <c r="I44">
        <v>1.1418734068631461E-2</v>
      </c>
      <c r="J44">
        <v>1.4599261237150274E-2</v>
      </c>
      <c r="L44" t="e">
        <v>#VALUE!</v>
      </c>
      <c r="M44">
        <v>0.62370393469361707</v>
      </c>
      <c r="N44">
        <v>0.61349178467394916</v>
      </c>
      <c r="O44">
        <v>0.60882161927644662</v>
      </c>
      <c r="P44">
        <v>0.60489094122852849</v>
      </c>
      <c r="Q44">
        <v>0.60168393919705832</v>
      </c>
      <c r="R44">
        <v>0.65303106962545154</v>
      </c>
      <c r="T44" t="e">
        <v>#VALUE!</v>
      </c>
      <c r="U44">
        <v>0.50573378000000002</v>
      </c>
      <c r="V44">
        <v>0.4665144</v>
      </c>
      <c r="W44">
        <v>0.50029705000000002</v>
      </c>
      <c r="X44">
        <v>0.45363525000000005</v>
      </c>
      <c r="Y44">
        <v>0.48191330999999998</v>
      </c>
      <c r="Z44">
        <v>0.47791510999999998</v>
      </c>
      <c r="AB44" t="e">
        <v>#VALUE!</v>
      </c>
      <c r="AC44">
        <v>211288998.74486002</v>
      </c>
      <c r="AD44">
        <v>184032000.05520001</v>
      </c>
      <c r="AE44">
        <v>200423000.60640001</v>
      </c>
      <c r="AF44">
        <v>182546000.04675001</v>
      </c>
      <c r="AG44">
        <v>228237998.92247999</v>
      </c>
      <c r="AH44">
        <v>253966001.11443999</v>
      </c>
    </row>
    <row r="45" spans="4:35" x14ac:dyDescent="0.3">
      <c r="D45">
        <v>5.4018044206997698E-3</v>
      </c>
      <c r="E45">
        <v>-4.2440820234077425E-3</v>
      </c>
      <c r="F45">
        <v>-5.3686978015598822E-3</v>
      </c>
      <c r="G45">
        <v>-1.2244241933974812E-2</v>
      </c>
      <c r="H45">
        <v>9.257766085288447E-3</v>
      </c>
      <c r="I45">
        <v>7.3529240623588944E-3</v>
      </c>
      <c r="J45">
        <v>1.1121297076035859E-2</v>
      </c>
      <c r="L45">
        <v>0.76201651794133407</v>
      </c>
      <c r="M45">
        <v>0.72898114235726619</v>
      </c>
      <c r="N45">
        <v>0.77573145748130434</v>
      </c>
      <c r="O45">
        <v>0.67008288388615422</v>
      </c>
      <c r="P45">
        <v>0.68070622812442516</v>
      </c>
      <c r="Q45">
        <v>0.49400320794743108</v>
      </c>
      <c r="R45">
        <v>0.33869664498572322</v>
      </c>
      <c r="T45">
        <v>0.29797128000000001</v>
      </c>
      <c r="U45">
        <v>0.34946519000000004</v>
      </c>
      <c r="V45">
        <v>0.29945774000000003</v>
      </c>
      <c r="W45">
        <v>0.32329380000000002</v>
      </c>
      <c r="X45">
        <v>0.73122299999999996</v>
      </c>
      <c r="Y45">
        <v>0.49271877000000003</v>
      </c>
      <c r="Z45">
        <v>0.23315829000000002</v>
      </c>
      <c r="AB45">
        <v>143983000.18008</v>
      </c>
      <c r="AC45">
        <v>182113998.74318001</v>
      </c>
      <c r="AD45">
        <v>141539000.26874</v>
      </c>
      <c r="AE45">
        <v>149160000.26880002</v>
      </c>
      <c r="AF45">
        <v>729606997.16999996</v>
      </c>
      <c r="AG45">
        <v>202636999.50651002</v>
      </c>
      <c r="AH45">
        <v>66423998.921520002</v>
      </c>
    </row>
    <row r="46" spans="4:35" x14ac:dyDescent="0.3">
      <c r="D46">
        <v>-1.7357977727773241E-2</v>
      </c>
      <c r="E46">
        <v>4.0735982963176426E-3</v>
      </c>
      <c r="F46" t="e">
        <v>#VALUE!</v>
      </c>
      <c r="G46" t="e">
        <v>#VALUE!</v>
      </c>
      <c r="H46" t="e">
        <v>#VALUE!</v>
      </c>
      <c r="I46" t="e">
        <v>#VALUE!</v>
      </c>
      <c r="J46" t="e">
        <v>#VALUE!</v>
      </c>
      <c r="L46">
        <v>0.56101281320818774</v>
      </c>
      <c r="M46">
        <v>0.54140291191853029</v>
      </c>
      <c r="N46" t="e">
        <v>#VALUE!</v>
      </c>
      <c r="O46" t="e">
        <v>#VALUE!</v>
      </c>
      <c r="P46" t="e">
        <v>#VALUE!</v>
      </c>
      <c r="Q46" t="e">
        <v>#VALUE!</v>
      </c>
      <c r="R46" t="e">
        <v>#VALUE!</v>
      </c>
      <c r="T46">
        <v>0.22711193000000002</v>
      </c>
      <c r="U46">
        <v>0.29610199000000004</v>
      </c>
      <c r="V46" t="e">
        <v>#VALUE!</v>
      </c>
      <c r="W46" t="e">
        <v>#VALUE!</v>
      </c>
      <c r="X46" t="e">
        <v>#VALUE!</v>
      </c>
      <c r="Y46" t="e">
        <v>#VALUE!</v>
      </c>
      <c r="Z46" t="e">
        <v>#VALUE!</v>
      </c>
      <c r="AB46">
        <v>30495000.176890001</v>
      </c>
      <c r="AC46">
        <v>20205999.797600001</v>
      </c>
      <c r="AD46" t="e">
        <v>#VALUE!</v>
      </c>
      <c r="AE46" t="e">
        <v>#VALUE!</v>
      </c>
      <c r="AF46" t="e">
        <v>#VALUE!</v>
      </c>
      <c r="AG46" t="e">
        <v>#VALUE!</v>
      </c>
      <c r="AH46" t="e">
        <v>#VALUE!</v>
      </c>
    </row>
    <row r="47" spans="4:35" x14ac:dyDescent="0.3">
      <c r="D47">
        <v>3.5956809788870335E-3</v>
      </c>
      <c r="E47">
        <v>2.9529406835051373E-3</v>
      </c>
      <c r="F47">
        <v>2.4953925719211189E-3</v>
      </c>
      <c r="G47">
        <v>2.7666506932910273E-3</v>
      </c>
      <c r="H47">
        <v>7.2422976884721759E-3</v>
      </c>
      <c r="I47">
        <v>4.2488137849361236E-3</v>
      </c>
      <c r="J47">
        <v>3.8962275219771585E-3</v>
      </c>
      <c r="L47">
        <v>0.82932615635957252</v>
      </c>
      <c r="M47">
        <v>0.81254991513589114</v>
      </c>
      <c r="N47">
        <v>0.86801755093877297</v>
      </c>
      <c r="O47">
        <v>0.83771061646875822</v>
      </c>
      <c r="P47">
        <v>0.67437928980380246</v>
      </c>
      <c r="Q47">
        <v>0.53080313641584465</v>
      </c>
      <c r="R47">
        <v>0.4340836986180921</v>
      </c>
      <c r="T47">
        <v>0.28247512000000002</v>
      </c>
      <c r="U47">
        <v>0.21521449000000001</v>
      </c>
      <c r="V47">
        <v>0.18517992</v>
      </c>
      <c r="W47">
        <v>0.14748044999999999</v>
      </c>
      <c r="X47">
        <v>0.13921656999999998</v>
      </c>
      <c r="Y47">
        <v>0.19862399</v>
      </c>
      <c r="Z47">
        <v>0.25365552000000002</v>
      </c>
      <c r="AB47">
        <v>29238999.671200003</v>
      </c>
      <c r="AC47">
        <v>22128999.505270001</v>
      </c>
      <c r="AD47">
        <v>16945999.659120001</v>
      </c>
      <c r="AE47">
        <v>12221999.852399999</v>
      </c>
      <c r="AF47">
        <v>11483000.343309999</v>
      </c>
      <c r="AG47">
        <v>14377000.268169999</v>
      </c>
      <c r="AH47">
        <v>16427999.752800001</v>
      </c>
    </row>
    <row r="48" spans="4:35" x14ac:dyDescent="0.3">
      <c r="D48">
        <v>4.51683069722939E-3</v>
      </c>
      <c r="E48">
        <v>8.6012186061176325E-3</v>
      </c>
      <c r="F48">
        <v>2.3473444393460885E-3</v>
      </c>
      <c r="G48">
        <v>6.3161645225897354E-3</v>
      </c>
      <c r="H48">
        <v>5.8660325009908835E-4</v>
      </c>
      <c r="I48">
        <v>6.2054919971022814E-3</v>
      </c>
      <c r="J48">
        <v>4.8421265005548272E-3</v>
      </c>
      <c r="L48">
        <v>0.6683409938370356</v>
      </c>
      <c r="M48">
        <v>0.67451810836791992</v>
      </c>
      <c r="N48">
        <v>0.71633674996496899</v>
      </c>
      <c r="O48">
        <v>0.20462439941519789</v>
      </c>
      <c r="P48">
        <v>0.17408807656066544</v>
      </c>
      <c r="Q48">
        <v>0.21211866421575734</v>
      </c>
      <c r="R48">
        <v>0.22026610274032954</v>
      </c>
      <c r="T48">
        <v>0.77967465000000002</v>
      </c>
      <c r="U48">
        <v>0.78529240999999994</v>
      </c>
      <c r="V48">
        <v>0.82997978000000006</v>
      </c>
      <c r="W48">
        <v>0.91634720000000003</v>
      </c>
      <c r="X48">
        <v>0.89114689999999996</v>
      </c>
      <c r="Y48">
        <v>0.85501403999999992</v>
      </c>
      <c r="Z48">
        <v>0.75290794999999999</v>
      </c>
      <c r="AB48">
        <v>57178999.807050005</v>
      </c>
      <c r="AC48">
        <v>59565999.883319996</v>
      </c>
      <c r="AD48">
        <v>61171999.725340001</v>
      </c>
      <c r="AE48">
        <v>98959999.516800001</v>
      </c>
      <c r="AF48">
        <v>63365000.324499995</v>
      </c>
      <c r="AG48">
        <v>56630999.925359994</v>
      </c>
      <c r="AH48">
        <v>38384000.19895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65135-7271-49CE-B146-6DBBEC1D4608}">
  <dimension ref="A1:Q94"/>
  <sheetViews>
    <sheetView topLeftCell="A73" zoomScale="90" zoomScaleNormal="90" workbookViewId="0">
      <selection activeCell="H98" sqref="H98"/>
    </sheetView>
  </sheetViews>
  <sheetFormatPr defaultRowHeight="14.4" x14ac:dyDescent="0.3"/>
  <cols>
    <col min="1" max="1" width="21.77734375" style="9" customWidth="1"/>
    <col min="2" max="4" width="8.88671875" style="9"/>
    <col min="5" max="5" width="17.21875" style="9" customWidth="1"/>
    <col min="6" max="6" width="8.88671875" style="9"/>
    <col min="7" max="7" width="10.109375" style="9" customWidth="1"/>
    <col min="8" max="11" width="8.88671875" style="9"/>
  </cols>
  <sheetData>
    <row r="1" spans="1:17" x14ac:dyDescent="0.3">
      <c r="A1" s="14" t="s">
        <v>169</v>
      </c>
      <c r="B1" s="14" t="s">
        <v>170</v>
      </c>
      <c r="C1" s="14" t="s">
        <v>210</v>
      </c>
      <c r="D1" s="14" t="s">
        <v>211</v>
      </c>
      <c r="E1" s="14" t="s">
        <v>212</v>
      </c>
      <c r="F1" s="14" t="s">
        <v>222</v>
      </c>
      <c r="G1" s="14" t="s">
        <v>213</v>
      </c>
      <c r="H1" s="14" t="s">
        <v>214</v>
      </c>
      <c r="I1" s="14" t="s">
        <v>215</v>
      </c>
      <c r="J1" s="14" t="s">
        <v>216</v>
      </c>
      <c r="K1" s="14" t="s">
        <v>217</v>
      </c>
      <c r="L1" s="14" t="s">
        <v>49</v>
      </c>
      <c r="M1" s="14" t="s">
        <v>218</v>
      </c>
      <c r="N1" s="14" t="s">
        <v>219</v>
      </c>
      <c r="O1" s="14" t="s">
        <v>220</v>
      </c>
      <c r="P1" s="14" t="s">
        <v>208</v>
      </c>
      <c r="Q1" s="14" t="s">
        <v>221</v>
      </c>
    </row>
    <row r="2" spans="1:17" x14ac:dyDescent="0.3">
      <c r="A2" s="10" t="s">
        <v>122</v>
      </c>
      <c r="B2" s="9">
        <v>2019</v>
      </c>
      <c r="C2" s="11">
        <v>0.51758999999999999</v>
      </c>
      <c r="D2" s="11">
        <v>7.4897179999999999</v>
      </c>
      <c r="E2" s="12">
        <v>816570000000</v>
      </c>
      <c r="F2" s="11">
        <v>6.9218805491259996</v>
      </c>
      <c r="G2">
        <v>47.737977148315515</v>
      </c>
      <c r="H2">
        <v>0.55795841093444565</v>
      </c>
      <c r="I2">
        <v>1.3407301388858273</v>
      </c>
      <c r="J2" s="18">
        <v>19</v>
      </c>
      <c r="K2" s="9">
        <v>0.73684210526315785</v>
      </c>
      <c r="L2">
        <v>7</v>
      </c>
      <c r="M2">
        <v>0.41027829398301208</v>
      </c>
      <c r="N2">
        <v>0.61124694376529098</v>
      </c>
      <c r="O2">
        <v>2.345375973377096</v>
      </c>
      <c r="P2">
        <v>1.52123217663768</v>
      </c>
      <c r="Q2">
        <v>5</v>
      </c>
    </row>
    <row r="3" spans="1:17" x14ac:dyDescent="0.3">
      <c r="A3" s="10" t="s">
        <v>126</v>
      </c>
      <c r="B3" s="9">
        <v>2019</v>
      </c>
      <c r="C3" s="11">
        <v>0.41366999999999998</v>
      </c>
      <c r="D3" s="11">
        <v>5.8605780000000003</v>
      </c>
      <c r="E3" s="12">
        <v>855647000000</v>
      </c>
      <c r="F3" s="11">
        <v>7.2208515894990004</v>
      </c>
      <c r="G3">
        <v>54.680960723288926</v>
      </c>
      <c r="H3">
        <v>0.74335935162307964</v>
      </c>
      <c r="I3">
        <v>1.1690568549588791</v>
      </c>
      <c r="J3" s="19">
        <v>15</v>
      </c>
      <c r="K3" s="9">
        <v>0.93333333333333324</v>
      </c>
      <c r="L3">
        <v>7</v>
      </c>
      <c r="M3">
        <v>0.41027829398301208</v>
      </c>
      <c r="N3">
        <v>0.61124694376529098</v>
      </c>
      <c r="O3">
        <v>0.66521188959554811</v>
      </c>
      <c r="P3">
        <v>1.8040660494039</v>
      </c>
      <c r="Q3">
        <v>5</v>
      </c>
    </row>
    <row r="4" spans="1:17" x14ac:dyDescent="0.3">
      <c r="A4" s="10" t="s">
        <v>128</v>
      </c>
      <c r="B4" s="9">
        <v>2019</v>
      </c>
      <c r="C4" s="11">
        <v>0.47720899999999999</v>
      </c>
      <c r="D4" s="11">
        <v>7.0424610000000003</v>
      </c>
      <c r="E4" s="12">
        <v>167038201000</v>
      </c>
      <c r="F4" s="11">
        <v>7.1163853111659998</v>
      </c>
      <c r="G4">
        <v>69.960934864235043</v>
      </c>
      <c r="H4">
        <v>0.62017095503842079</v>
      </c>
      <c r="I4">
        <v>1.4887630499876492</v>
      </c>
      <c r="J4" s="19">
        <v>17</v>
      </c>
      <c r="K4" s="9">
        <v>0.70588235294117652</v>
      </c>
      <c r="L4">
        <v>6</v>
      </c>
      <c r="M4">
        <v>0.41027829398301208</v>
      </c>
      <c r="N4">
        <v>0.61124694376529098</v>
      </c>
      <c r="O4">
        <v>1.9833726872976194</v>
      </c>
      <c r="P4">
        <v>2.0082468415197399</v>
      </c>
      <c r="Q4">
        <v>4</v>
      </c>
    </row>
    <row r="5" spans="1:17" ht="26.4" x14ac:dyDescent="0.3">
      <c r="A5" s="10" t="s">
        <v>131</v>
      </c>
      <c r="B5" s="9">
        <v>2019</v>
      </c>
      <c r="C5" s="11">
        <v>-0.78662500000000002</v>
      </c>
      <c r="D5" s="11">
        <v>-11.961061000000001</v>
      </c>
      <c r="E5" s="12">
        <v>132196007000</v>
      </c>
      <c r="F5" s="11">
        <v>6.2640984307489997</v>
      </c>
      <c r="G5">
        <v>64.191707394006244</v>
      </c>
      <c r="H5">
        <v>0.71098633715078519</v>
      </c>
      <c r="I5">
        <v>1.5632287667036719</v>
      </c>
      <c r="J5" s="19">
        <v>14</v>
      </c>
      <c r="K5" s="9">
        <v>0.7142857142857143</v>
      </c>
      <c r="L5">
        <v>7</v>
      </c>
      <c r="M5">
        <v>0.41027829398301208</v>
      </c>
      <c r="N5">
        <v>0.61124694376529098</v>
      </c>
      <c r="O5">
        <v>-0.54652038050716145</v>
      </c>
      <c r="P5">
        <v>1.6286413269018001</v>
      </c>
      <c r="Q5">
        <v>5</v>
      </c>
    </row>
    <row r="6" spans="1:17" x14ac:dyDescent="0.3">
      <c r="A6" s="10" t="s">
        <v>133</v>
      </c>
      <c r="B6" s="9">
        <v>2019</v>
      </c>
      <c r="C6" s="11">
        <v>0.52710199999999996</v>
      </c>
      <c r="D6" s="11">
        <v>7.7433750000000003</v>
      </c>
      <c r="E6" s="12">
        <v>79033498000</v>
      </c>
      <c r="F6" s="11">
        <v>6.6953217735599999</v>
      </c>
      <c r="G6">
        <v>75.770013368255576</v>
      </c>
      <c r="H6">
        <v>0.74736039988983982</v>
      </c>
      <c r="I6">
        <v>1.682428393152648</v>
      </c>
      <c r="J6" s="19">
        <v>15</v>
      </c>
      <c r="K6" s="9">
        <v>0.6</v>
      </c>
      <c r="L6">
        <v>5</v>
      </c>
      <c r="M6">
        <v>0.41027829398301208</v>
      </c>
      <c r="N6">
        <v>0.61124694376529098</v>
      </c>
      <c r="O6">
        <v>2.414262742349977</v>
      </c>
      <c r="P6">
        <v>1.73525572809559</v>
      </c>
      <c r="Q6">
        <v>4</v>
      </c>
    </row>
    <row r="7" spans="1:17" ht="26.4" x14ac:dyDescent="0.3">
      <c r="A7" s="10" t="s">
        <v>140</v>
      </c>
      <c r="B7" s="9">
        <v>2019</v>
      </c>
      <c r="C7" s="11">
        <v>1.1217550000000001</v>
      </c>
      <c r="D7" s="11">
        <v>25.677516000000001</v>
      </c>
      <c r="E7" s="12">
        <v>53437634000</v>
      </c>
      <c r="F7" s="11">
        <v>4.384761870258</v>
      </c>
      <c r="G7">
        <v>46.01064111483678</v>
      </c>
      <c r="H7">
        <v>8.0518166552907361E-2</v>
      </c>
      <c r="I7">
        <v>2.2402675931997846</v>
      </c>
      <c r="J7" s="19">
        <v>13</v>
      </c>
      <c r="K7" s="9">
        <v>0.53846153846153844</v>
      </c>
      <c r="L7">
        <v>6</v>
      </c>
      <c r="M7">
        <v>0.41027829398301208</v>
      </c>
      <c r="N7">
        <v>0.61124694376529098</v>
      </c>
      <c r="O7">
        <v>6.0788589418019567</v>
      </c>
      <c r="Q7">
        <v>5</v>
      </c>
    </row>
    <row r="8" spans="1:17" ht="26.4" x14ac:dyDescent="0.3">
      <c r="A8" s="10" t="s">
        <v>142</v>
      </c>
      <c r="B8" s="9">
        <v>2019</v>
      </c>
      <c r="C8" s="11">
        <v>0.44342399999999998</v>
      </c>
      <c r="D8" s="11">
        <v>7.378425</v>
      </c>
      <c r="E8" s="12">
        <v>47629986000</v>
      </c>
      <c r="F8" s="11">
        <v>6.054585025492</v>
      </c>
      <c r="G8">
        <v>62.257582859671636</v>
      </c>
      <c r="H8">
        <v>0.21189900152016922</v>
      </c>
      <c r="I8">
        <v>1.67554321278566</v>
      </c>
      <c r="J8" s="19">
        <v>12</v>
      </c>
      <c r="K8" s="9">
        <v>0.33333333333333326</v>
      </c>
      <c r="L8">
        <v>5</v>
      </c>
      <c r="M8">
        <v>0.41027829398301208</v>
      </c>
      <c r="N8">
        <v>0.61124694376529098</v>
      </c>
      <c r="O8">
        <v>11.057523543293152</v>
      </c>
      <c r="P8">
        <v>0.95553902957062697</v>
      </c>
      <c r="Q8">
        <v>3</v>
      </c>
    </row>
    <row r="9" spans="1:17" ht="39.6" x14ac:dyDescent="0.3">
      <c r="A9" s="10" t="s">
        <v>144</v>
      </c>
      <c r="B9" s="9">
        <v>2019</v>
      </c>
      <c r="C9" s="11">
        <v>0.33904600000000001</v>
      </c>
      <c r="D9" s="11">
        <v>4.9104590000000004</v>
      </c>
      <c r="E9" s="12">
        <v>41146189000</v>
      </c>
      <c r="F9" s="11">
        <v>7.1375261509639998</v>
      </c>
      <c r="G9">
        <v>78.485312455061148</v>
      </c>
      <c r="H9">
        <v>0.66289369309167434</v>
      </c>
      <c r="I9">
        <v>1.2761497767106937</v>
      </c>
      <c r="J9" s="19">
        <v>15</v>
      </c>
      <c r="K9" s="9">
        <v>0.46666666666666662</v>
      </c>
      <c r="L9">
        <v>4</v>
      </c>
      <c r="M9">
        <v>0.41027829398301208</v>
      </c>
      <c r="N9">
        <v>0.61124694376529098</v>
      </c>
      <c r="O9">
        <v>6.9400896980279514</v>
      </c>
      <c r="P9">
        <v>1.13520456234975</v>
      </c>
      <c r="Q9">
        <v>3</v>
      </c>
    </row>
    <row r="10" spans="1:17" ht="39.6" x14ac:dyDescent="0.3">
      <c r="A10" s="10" t="s">
        <v>148</v>
      </c>
      <c r="B10" s="9">
        <v>2019</v>
      </c>
      <c r="C10" s="11">
        <v>0.221354</v>
      </c>
      <c r="D10" s="11">
        <v>3.490275</v>
      </c>
      <c r="E10" s="12">
        <v>24340000000</v>
      </c>
      <c r="F10" s="11">
        <v>6.8048151191450001</v>
      </c>
      <c r="G10">
        <v>79.788483976992609</v>
      </c>
      <c r="H10">
        <v>0.7997160940669088</v>
      </c>
      <c r="I10">
        <v>1.3952259790770338</v>
      </c>
      <c r="J10" s="21">
        <v>15</v>
      </c>
      <c r="K10" s="9">
        <v>0.93333333333333324</v>
      </c>
      <c r="L10">
        <v>6</v>
      </c>
      <c r="M10">
        <v>0.41027829398301208</v>
      </c>
      <c r="N10">
        <v>0.61124694376529098</v>
      </c>
      <c r="O10">
        <v>0.34880972641366814</v>
      </c>
      <c r="Q10">
        <v>4</v>
      </c>
    </row>
    <row r="11" spans="1:17" x14ac:dyDescent="0.3">
      <c r="A11" s="10" t="s">
        <v>151</v>
      </c>
      <c r="B11" s="9">
        <v>2019</v>
      </c>
      <c r="C11" s="13"/>
      <c r="D11" s="13"/>
      <c r="E11" s="12">
        <v>22714235000</v>
      </c>
      <c r="F11" s="11">
        <v>7.0437811354860003</v>
      </c>
      <c r="G11">
        <v>55.741591121162571</v>
      </c>
      <c r="H11">
        <v>3.6528703742024105</v>
      </c>
      <c r="I11">
        <v>1.2703707613663415</v>
      </c>
      <c r="J11" s="21">
        <v>10</v>
      </c>
      <c r="K11" s="9">
        <v>0.9</v>
      </c>
      <c r="L11">
        <v>4</v>
      </c>
      <c r="M11">
        <v>0.41027829398301208</v>
      </c>
      <c r="N11">
        <v>0.61124694376529098</v>
      </c>
      <c r="O11">
        <v>0.1586096775177975</v>
      </c>
      <c r="P11">
        <v>1.9884253311303901</v>
      </c>
      <c r="Q11">
        <v>3</v>
      </c>
    </row>
    <row r="12" spans="1:17" ht="26.4" x14ac:dyDescent="0.3">
      <c r="A12" s="10" t="s">
        <v>153</v>
      </c>
      <c r="B12" s="9">
        <v>2019</v>
      </c>
      <c r="C12" s="11">
        <v>0.28889100000000001</v>
      </c>
      <c r="D12" s="11">
        <v>4.2237640000000001</v>
      </c>
      <c r="E12" s="12">
        <v>14192062000</v>
      </c>
      <c r="F12" s="11">
        <v>6.800364880029</v>
      </c>
      <c r="G12">
        <v>84.798713534368716</v>
      </c>
      <c r="H12">
        <v>0.43936335355986855</v>
      </c>
      <c r="I12">
        <v>1.5249087786755724</v>
      </c>
      <c r="J12" s="21">
        <v>12</v>
      </c>
      <c r="K12" s="9">
        <v>0.41666666666666674</v>
      </c>
      <c r="L12">
        <v>4</v>
      </c>
      <c r="M12">
        <v>0.41027829398301208</v>
      </c>
      <c r="N12">
        <v>0.61124694376529098</v>
      </c>
      <c r="O12">
        <v>6.480451078086328</v>
      </c>
      <c r="Q12">
        <v>3</v>
      </c>
    </row>
    <row r="13" spans="1:17" x14ac:dyDescent="0.3">
      <c r="A13" s="10" t="s">
        <v>155</v>
      </c>
      <c r="B13" s="9">
        <v>2019</v>
      </c>
      <c r="C13" s="11">
        <v>2.5311940000000002</v>
      </c>
      <c r="D13" s="11">
        <v>32.933726999999998</v>
      </c>
      <c r="E13" s="12">
        <v>11765576000</v>
      </c>
      <c r="F13" s="11">
        <v>7.7996011415000002</v>
      </c>
      <c r="G13">
        <v>58.388692572297352</v>
      </c>
      <c r="H13">
        <v>8.1385595957708015E-2</v>
      </c>
      <c r="I13">
        <v>5.0335487366140859</v>
      </c>
      <c r="J13" s="21">
        <v>9</v>
      </c>
      <c r="K13" s="9">
        <v>0.55555555555555558</v>
      </c>
      <c r="L13">
        <v>6</v>
      </c>
      <c r="M13">
        <v>0.41027829398301208</v>
      </c>
      <c r="N13">
        <v>0.61124694376529098</v>
      </c>
      <c r="O13">
        <v>5.4548566345271086</v>
      </c>
      <c r="Q13">
        <v>4</v>
      </c>
    </row>
    <row r="14" spans="1:17" x14ac:dyDescent="0.3">
      <c r="A14" s="10" t="s">
        <v>122</v>
      </c>
      <c r="B14" s="9">
        <v>2018</v>
      </c>
      <c r="C14" s="11">
        <v>0.51393</v>
      </c>
      <c r="D14" s="11">
        <v>7.3399789999999996</v>
      </c>
      <c r="E14" s="12">
        <v>787790000000</v>
      </c>
      <c r="F14" s="11">
        <v>6.8990467002629998</v>
      </c>
      <c r="G14">
        <v>47.48003909671359</v>
      </c>
      <c r="H14">
        <v>0.67024379549944801</v>
      </c>
      <c r="I14">
        <v>1.2584572115119512</v>
      </c>
      <c r="J14" s="18">
        <v>19</v>
      </c>
      <c r="K14" s="9">
        <v>0.73684210526315785</v>
      </c>
      <c r="L14">
        <v>6</v>
      </c>
      <c r="M14">
        <v>0.92581094101274175</v>
      </c>
      <c r="N14">
        <v>1.1374876360039501</v>
      </c>
      <c r="O14">
        <v>1.0510789959023574</v>
      </c>
      <c r="P14">
        <v>1.53068897723738</v>
      </c>
      <c r="Q14">
        <v>4</v>
      </c>
    </row>
    <row r="15" spans="1:17" x14ac:dyDescent="0.3">
      <c r="A15" s="10" t="s">
        <v>126</v>
      </c>
      <c r="B15" s="9">
        <v>2018</v>
      </c>
      <c r="C15" s="11">
        <v>0.52008399999999999</v>
      </c>
      <c r="D15" s="11">
        <v>7.3825409999999998</v>
      </c>
      <c r="E15" s="12">
        <v>832172000000</v>
      </c>
      <c r="F15" s="11">
        <v>6.891604139529</v>
      </c>
      <c r="G15">
        <v>56.344361502189457</v>
      </c>
      <c r="H15">
        <v>0.56624054666205992</v>
      </c>
      <c r="I15">
        <v>1.2564710196029185</v>
      </c>
      <c r="J15" s="19">
        <v>15</v>
      </c>
      <c r="K15" s="9">
        <v>0.93333333333333324</v>
      </c>
      <c r="L15">
        <v>6</v>
      </c>
      <c r="M15">
        <v>0.92581094101274175</v>
      </c>
      <c r="N15">
        <v>1.1374876360039501</v>
      </c>
      <c r="O15">
        <v>0.60140143793749878</v>
      </c>
      <c r="P15">
        <v>1.8162191234556999</v>
      </c>
      <c r="Q15">
        <v>5</v>
      </c>
    </row>
    <row r="16" spans="1:17" x14ac:dyDescent="0.3">
      <c r="A16" s="10" t="s">
        <v>128</v>
      </c>
      <c r="B16" s="9">
        <v>2018</v>
      </c>
      <c r="C16" s="11">
        <v>-4.2935000000000001E-2</v>
      </c>
      <c r="D16" s="11">
        <v>-0.62019999999999997</v>
      </c>
      <c r="E16" s="12">
        <v>160464791000</v>
      </c>
      <c r="F16" s="11">
        <v>6.4220156557579999</v>
      </c>
      <c r="G16">
        <v>70.73456319772977</v>
      </c>
      <c r="H16">
        <v>1.4755197895152112</v>
      </c>
      <c r="I16">
        <v>1.5358864517008968</v>
      </c>
      <c r="J16" s="19">
        <v>19</v>
      </c>
      <c r="K16" s="9">
        <v>0.68421052631578949</v>
      </c>
      <c r="L16">
        <v>4</v>
      </c>
      <c r="M16">
        <v>0.92581094101274175</v>
      </c>
      <c r="N16">
        <v>1.1374876360039501</v>
      </c>
      <c r="O16">
        <v>7.1227712069823326E-2</v>
      </c>
      <c r="P16">
        <v>2.1999342891239602</v>
      </c>
      <c r="Q16">
        <v>2</v>
      </c>
    </row>
    <row r="17" spans="1:17" ht="26.4" x14ac:dyDescent="0.3">
      <c r="A17" s="10" t="s">
        <v>131</v>
      </c>
      <c r="B17" s="9">
        <v>2018</v>
      </c>
      <c r="C17" s="11">
        <v>0.20669899999999999</v>
      </c>
      <c r="D17" s="11">
        <v>2.8690730000000002</v>
      </c>
      <c r="E17" s="12">
        <v>130481006000</v>
      </c>
      <c r="F17" s="11">
        <v>6.8931113238039998</v>
      </c>
      <c r="G17">
        <v>63.731656851266152</v>
      </c>
      <c r="H17">
        <v>0.72995879985002476</v>
      </c>
      <c r="I17">
        <v>1.4696261664136081</v>
      </c>
      <c r="J17" s="19">
        <v>14</v>
      </c>
      <c r="K17" s="9">
        <v>0.7142857142857143</v>
      </c>
      <c r="L17">
        <v>6</v>
      </c>
      <c r="M17">
        <v>0.92581094101274175</v>
      </c>
      <c r="N17">
        <v>1.1374876360039501</v>
      </c>
      <c r="O17">
        <v>0.20688245640519864</v>
      </c>
      <c r="P17">
        <v>2.04211884824567</v>
      </c>
      <c r="Q17">
        <v>5</v>
      </c>
    </row>
    <row r="18" spans="1:17" x14ac:dyDescent="0.3">
      <c r="A18" s="10" t="s">
        <v>133</v>
      </c>
      <c r="B18" s="9">
        <v>2018</v>
      </c>
      <c r="C18" s="11">
        <v>0.62799000000000005</v>
      </c>
      <c r="D18" s="11">
        <v>8.4005930000000006</v>
      </c>
      <c r="E18" s="12">
        <v>70634767000</v>
      </c>
      <c r="F18" s="11">
        <v>6.932234943169</v>
      </c>
      <c r="G18">
        <v>74.389550969991873</v>
      </c>
      <c r="H18">
        <v>0.42967454530208704</v>
      </c>
      <c r="I18">
        <v>1.6285818499196296</v>
      </c>
      <c r="J18" s="19">
        <v>15</v>
      </c>
      <c r="K18" s="9">
        <v>0.6</v>
      </c>
      <c r="L18">
        <v>5</v>
      </c>
      <c r="M18">
        <v>0.92581094101274175</v>
      </c>
      <c r="N18">
        <v>1.1374876360039501</v>
      </c>
      <c r="O18">
        <v>2.8837638897980931</v>
      </c>
      <c r="P18">
        <v>1.74360793961934</v>
      </c>
      <c r="Q18">
        <v>4</v>
      </c>
    </row>
    <row r="19" spans="1:17" ht="26.4" x14ac:dyDescent="0.3">
      <c r="A19" s="10" t="s">
        <v>140</v>
      </c>
      <c r="B19" s="9">
        <v>2018</v>
      </c>
      <c r="C19" s="11">
        <v>0.56422499999999998</v>
      </c>
      <c r="D19" s="11">
        <v>11.977706</v>
      </c>
      <c r="E19" s="12">
        <v>47374365000</v>
      </c>
      <c r="F19" s="11">
        <v>4.3504308712109996</v>
      </c>
      <c r="G19">
        <v>45.317762042826324</v>
      </c>
      <c r="H19">
        <v>6.9844886129313319E-2</v>
      </c>
      <c r="I19">
        <v>1.649001513323503</v>
      </c>
      <c r="J19" s="19">
        <v>13</v>
      </c>
      <c r="K19" s="9">
        <v>0.53846153846153844</v>
      </c>
      <c r="L19">
        <v>6</v>
      </c>
      <c r="M19">
        <v>0.92581094101274175</v>
      </c>
      <c r="N19">
        <v>1.1374876360039501</v>
      </c>
      <c r="O19">
        <v>1.5019231012136973</v>
      </c>
      <c r="Q19">
        <v>5</v>
      </c>
    </row>
    <row r="20" spans="1:17" ht="26.4" x14ac:dyDescent="0.3">
      <c r="A20" s="10" t="s">
        <v>142</v>
      </c>
      <c r="B20" s="9">
        <v>2018</v>
      </c>
      <c r="C20" s="11">
        <v>0.44048199999999998</v>
      </c>
      <c r="D20" s="11">
        <v>7.1461329999999998</v>
      </c>
      <c r="E20" s="12">
        <v>43168088000</v>
      </c>
      <c r="F20" s="11">
        <v>5.9602408149280004</v>
      </c>
      <c r="G20">
        <v>64.389666737150833</v>
      </c>
      <c r="H20">
        <v>0.23085871859434243</v>
      </c>
      <c r="I20">
        <v>1.8261522212204535</v>
      </c>
      <c r="J20" s="19">
        <v>12</v>
      </c>
      <c r="K20" s="9">
        <v>0.33333333333333326</v>
      </c>
      <c r="L20">
        <v>4</v>
      </c>
      <c r="M20">
        <v>0.92581094101274175</v>
      </c>
      <c r="N20">
        <v>1.1374876360039501</v>
      </c>
      <c r="O20">
        <v>9.7078429377393558</v>
      </c>
      <c r="P20">
        <v>1.0486061176142301</v>
      </c>
      <c r="Q20">
        <v>3</v>
      </c>
    </row>
    <row r="21" spans="1:17" ht="39.6" x14ac:dyDescent="0.3">
      <c r="A21" s="10" t="s">
        <v>144</v>
      </c>
      <c r="B21" s="9">
        <v>2018</v>
      </c>
      <c r="C21" s="11">
        <v>0.27542699999999998</v>
      </c>
      <c r="D21" s="11">
        <v>4.1340130000000004</v>
      </c>
      <c r="E21" s="12">
        <v>41128185000</v>
      </c>
      <c r="F21" s="11">
        <v>6.671510060558</v>
      </c>
      <c r="G21">
        <v>74.253811589303055</v>
      </c>
      <c r="H21">
        <v>0.79007519668544512</v>
      </c>
      <c r="I21">
        <v>1.0505399168395106</v>
      </c>
      <c r="J21" s="21">
        <v>15</v>
      </c>
      <c r="K21" s="9">
        <v>0.53333333333333333</v>
      </c>
      <c r="L21">
        <v>4</v>
      </c>
      <c r="M21">
        <v>0.92581094101274175</v>
      </c>
      <c r="N21">
        <v>1.1374876360039501</v>
      </c>
      <c r="O21">
        <v>3.9104029916651863</v>
      </c>
      <c r="P21">
        <v>1.2611868676795801</v>
      </c>
      <c r="Q21">
        <v>3</v>
      </c>
    </row>
    <row r="22" spans="1:17" ht="39.6" x14ac:dyDescent="0.3">
      <c r="A22" s="10" t="s">
        <v>148</v>
      </c>
      <c r="B22" s="9">
        <v>2018</v>
      </c>
      <c r="C22" s="11">
        <v>0.135903</v>
      </c>
      <c r="D22" s="11">
        <v>2.3192029999999999</v>
      </c>
      <c r="E22" s="12">
        <v>26472669000</v>
      </c>
      <c r="F22" s="11">
        <v>5.9165246994930003</v>
      </c>
      <c r="G22">
        <v>79.241802177181313</v>
      </c>
      <c r="H22">
        <v>0.66277931223191422</v>
      </c>
      <c r="I22">
        <v>1.0705947295538654</v>
      </c>
      <c r="J22" s="21">
        <v>15</v>
      </c>
      <c r="K22" s="9">
        <v>0.66666666666666652</v>
      </c>
      <c r="L22">
        <v>4</v>
      </c>
      <c r="M22">
        <v>0.92581094101274175</v>
      </c>
      <c r="N22">
        <v>1.1374876360039501</v>
      </c>
      <c r="O22">
        <v>0.24291478439201672</v>
      </c>
      <c r="Q22">
        <v>3</v>
      </c>
    </row>
    <row r="23" spans="1:17" x14ac:dyDescent="0.3">
      <c r="A23" s="10" t="s">
        <v>151</v>
      </c>
      <c r="B23" s="9">
        <v>2018</v>
      </c>
      <c r="C23" s="11">
        <v>-1.1696530000000001</v>
      </c>
      <c r="D23" s="11">
        <v>-13.617417</v>
      </c>
      <c r="E23" s="12">
        <v>22094584000</v>
      </c>
      <c r="F23" s="11">
        <v>8.0082566840809992</v>
      </c>
      <c r="G23">
        <v>70.979937888850955</v>
      </c>
      <c r="H23">
        <v>1.5560500275398621</v>
      </c>
      <c r="I23">
        <v>1.1072668236248302</v>
      </c>
      <c r="J23" s="21">
        <v>12</v>
      </c>
      <c r="K23" s="9">
        <v>0.75</v>
      </c>
      <c r="L23">
        <v>2</v>
      </c>
      <c r="M23">
        <v>0.92581094101274175</v>
      </c>
      <c r="N23">
        <v>1.1374876360039501</v>
      </c>
      <c r="O23">
        <v>-0.90491695320040022</v>
      </c>
      <c r="P23">
        <v>2.26076344632013</v>
      </c>
      <c r="Q23">
        <v>1</v>
      </c>
    </row>
    <row r="24" spans="1:17" ht="26.4" x14ac:dyDescent="0.3">
      <c r="A24" s="10" t="s">
        <v>153</v>
      </c>
      <c r="B24" s="9">
        <v>2018</v>
      </c>
      <c r="C24" s="11">
        <v>0.264876</v>
      </c>
      <c r="D24" s="11">
        <v>3.8157549999999998</v>
      </c>
      <c r="E24" s="12">
        <v>13608036000</v>
      </c>
      <c r="F24" s="11">
        <v>6.8806402334619996</v>
      </c>
      <c r="G24">
        <v>88.70397609177401</v>
      </c>
      <c r="H24">
        <v>0.52277926303400357</v>
      </c>
      <c r="I24">
        <v>1.464237759125417</v>
      </c>
      <c r="J24" s="21">
        <v>12</v>
      </c>
      <c r="K24" s="9">
        <v>0.41666666666666674</v>
      </c>
      <c r="L24">
        <v>4</v>
      </c>
      <c r="M24">
        <v>0.92581094101274175</v>
      </c>
      <c r="N24">
        <v>1.1374876360039501</v>
      </c>
      <c r="O24">
        <v>2.181773743559317</v>
      </c>
      <c r="Q24">
        <v>3</v>
      </c>
    </row>
    <row r="25" spans="1:17" x14ac:dyDescent="0.3">
      <c r="A25" s="10" t="s">
        <v>155</v>
      </c>
      <c r="B25" s="9">
        <v>2018</v>
      </c>
      <c r="C25" s="11">
        <v>1.9237139999999999</v>
      </c>
      <c r="D25" s="11">
        <v>24.491194</v>
      </c>
      <c r="E25" s="12">
        <v>9735894000</v>
      </c>
      <c r="F25" s="11">
        <v>7.5480998457870001</v>
      </c>
      <c r="G25">
        <v>56.817607093914532</v>
      </c>
      <c r="H25">
        <v>9.0406171554432979E-2</v>
      </c>
      <c r="I25">
        <v>4.8923807348083281</v>
      </c>
      <c r="J25" s="21">
        <v>9</v>
      </c>
      <c r="K25" s="9">
        <v>0.55555555555555558</v>
      </c>
      <c r="L25">
        <v>6</v>
      </c>
      <c r="M25">
        <v>0.92581094101274175</v>
      </c>
      <c r="N25">
        <v>1.1374876360039501</v>
      </c>
      <c r="O25">
        <v>4.0040219973504172</v>
      </c>
      <c r="Q25">
        <v>4</v>
      </c>
    </row>
    <row r="26" spans="1:17" x14ac:dyDescent="0.3">
      <c r="A26" s="10" t="s">
        <v>122</v>
      </c>
      <c r="B26" s="9">
        <v>2017</v>
      </c>
      <c r="C26" s="11">
        <v>0.96636100000000003</v>
      </c>
      <c r="D26" s="11">
        <v>13.885558</v>
      </c>
      <c r="E26" s="12">
        <v>796861000000</v>
      </c>
      <c r="F26" s="11">
        <v>7.1033718553170004</v>
      </c>
      <c r="G26">
        <v>47.741952486067206</v>
      </c>
      <c r="H26">
        <v>0.69735593541111929</v>
      </c>
      <c r="I26">
        <v>1.8024473568790544</v>
      </c>
      <c r="J26" s="18">
        <v>19</v>
      </c>
      <c r="K26" s="9">
        <v>0.73684210526315785</v>
      </c>
      <c r="L26">
        <v>5</v>
      </c>
      <c r="M26">
        <v>1.6678590410685672</v>
      </c>
      <c r="N26">
        <v>1.2265331664580801</v>
      </c>
      <c r="O26">
        <v>1.9017818942472646</v>
      </c>
      <c r="P26">
        <v>1.58295702210418</v>
      </c>
      <c r="Q26">
        <v>4</v>
      </c>
    </row>
    <row r="27" spans="1:17" x14ac:dyDescent="0.3">
      <c r="A27" s="10" t="s">
        <v>126</v>
      </c>
      <c r="B27" s="9">
        <v>2017</v>
      </c>
      <c r="C27" s="11">
        <v>0.68213199999999996</v>
      </c>
      <c r="D27" s="11">
        <v>11.189261999999999</v>
      </c>
      <c r="E27" s="12">
        <v>836789724000</v>
      </c>
      <c r="F27" s="11">
        <v>7.197112759955</v>
      </c>
      <c r="G27">
        <v>50.412460849005356</v>
      </c>
      <c r="H27">
        <v>0.49558501275151662</v>
      </c>
      <c r="I27">
        <v>1.1505897828553258</v>
      </c>
      <c r="J27" s="19">
        <v>17</v>
      </c>
      <c r="K27" s="9">
        <v>0.94117647058823517</v>
      </c>
      <c r="L27">
        <v>5</v>
      </c>
      <c r="M27">
        <v>1.6678590410685672</v>
      </c>
      <c r="N27">
        <v>1.2265331664580801</v>
      </c>
      <c r="O27">
        <v>0.8065291296430831</v>
      </c>
      <c r="P27">
        <v>1.93066329460807</v>
      </c>
      <c r="Q27">
        <v>4</v>
      </c>
    </row>
    <row r="28" spans="1:17" x14ac:dyDescent="0.3">
      <c r="A28" s="10" t="s">
        <v>128</v>
      </c>
      <c r="B28" s="9">
        <v>2017</v>
      </c>
      <c r="C28" s="11">
        <v>0.37967800000000002</v>
      </c>
      <c r="D28" s="11">
        <v>5.2201690000000003</v>
      </c>
      <c r="E28" s="12">
        <v>161206765000</v>
      </c>
      <c r="F28" s="11">
        <v>7.4212394250329998</v>
      </c>
      <c r="G28">
        <v>73.763946568867638</v>
      </c>
      <c r="H28">
        <v>1.2053302533312065</v>
      </c>
      <c r="I28">
        <v>1.4033765845695743</v>
      </c>
      <c r="J28" s="19">
        <v>19</v>
      </c>
      <c r="K28" s="9">
        <v>0.68421052631578949</v>
      </c>
      <c r="L28">
        <v>4</v>
      </c>
      <c r="M28">
        <v>1.6678590410685672</v>
      </c>
      <c r="N28">
        <v>1.2265331664580801</v>
      </c>
      <c r="P28">
        <v>2.1833023139575598</v>
      </c>
      <c r="Q28">
        <v>3</v>
      </c>
    </row>
    <row r="29" spans="1:17" ht="26.4" x14ac:dyDescent="0.3">
      <c r="A29" s="10" t="s">
        <v>131</v>
      </c>
      <c r="B29" s="9">
        <v>2017</v>
      </c>
      <c r="C29" s="11">
        <v>-2.3960680000000001</v>
      </c>
      <c r="D29" s="11">
        <v>-41.467177</v>
      </c>
      <c r="E29" s="12">
        <v>139154192000</v>
      </c>
      <c r="F29" s="11">
        <v>7.4962700369100004</v>
      </c>
      <c r="G29">
        <v>58.878262179841478</v>
      </c>
      <c r="H29">
        <v>6.4953021161439972</v>
      </c>
      <c r="I29">
        <v>1.8411159414657663</v>
      </c>
      <c r="J29" s="19">
        <v>14</v>
      </c>
      <c r="K29" s="9">
        <v>0.7142857142857143</v>
      </c>
      <c r="L29">
        <v>5</v>
      </c>
      <c r="M29">
        <v>1.6678590410685672</v>
      </c>
      <c r="N29">
        <v>1.2265331664580801</v>
      </c>
      <c r="O29">
        <v>-2.0563475492441299</v>
      </c>
      <c r="P29">
        <v>2.07122594387004</v>
      </c>
      <c r="Q29">
        <v>4</v>
      </c>
    </row>
    <row r="30" spans="1:17" x14ac:dyDescent="0.3">
      <c r="A30" s="10" t="s">
        <v>133</v>
      </c>
      <c r="B30" s="9">
        <v>2017</v>
      </c>
      <c r="C30" s="11">
        <v>0.25955</v>
      </c>
      <c r="D30" s="11">
        <v>3.1383079999999999</v>
      </c>
      <c r="E30" s="12">
        <v>71338807000</v>
      </c>
      <c r="F30" s="11">
        <v>8.0134939739039996</v>
      </c>
      <c r="G30">
        <v>67.783215101985093</v>
      </c>
      <c r="H30">
        <v>1.1084000229383331</v>
      </c>
      <c r="I30">
        <v>1.5086094790334525</v>
      </c>
      <c r="J30" s="19">
        <v>15</v>
      </c>
      <c r="K30" s="9">
        <v>0.46666666666666662</v>
      </c>
      <c r="L30">
        <v>4</v>
      </c>
      <c r="M30">
        <v>1.6678590410685672</v>
      </c>
      <c r="N30">
        <v>1.2265331664580801</v>
      </c>
      <c r="O30">
        <v>2.1115668636279805</v>
      </c>
      <c r="P30">
        <v>1.94966285829412</v>
      </c>
      <c r="Q30">
        <v>3</v>
      </c>
    </row>
    <row r="31" spans="1:17" ht="26.4" x14ac:dyDescent="0.3">
      <c r="A31" s="10" t="s">
        <v>140</v>
      </c>
      <c r="B31" s="9">
        <v>2017</v>
      </c>
      <c r="C31" s="11">
        <v>0.89160099999999998</v>
      </c>
      <c r="D31" s="11">
        <v>17.433077000000001</v>
      </c>
      <c r="E31" s="12">
        <v>43266786000</v>
      </c>
      <c r="F31" s="11">
        <v>5.1050175069619996</v>
      </c>
      <c r="G31">
        <v>21.550445184442406</v>
      </c>
      <c r="H31">
        <v>0.14701553004364457</v>
      </c>
      <c r="I31">
        <v>1.8576836217837394</v>
      </c>
      <c r="J31" s="19">
        <v>11</v>
      </c>
      <c r="K31" s="9">
        <v>0.27272727272727271</v>
      </c>
      <c r="L31">
        <v>4</v>
      </c>
      <c r="M31">
        <v>1.6678590410685672</v>
      </c>
      <c r="N31">
        <v>1.2265331664580801</v>
      </c>
      <c r="O31">
        <v>1.908311877606981</v>
      </c>
      <c r="Q31">
        <v>3</v>
      </c>
    </row>
    <row r="32" spans="1:17" ht="26.4" x14ac:dyDescent="0.3">
      <c r="A32" s="10" t="s">
        <v>142</v>
      </c>
      <c r="B32" s="9">
        <v>2017</v>
      </c>
      <c r="C32" s="11">
        <v>0.459615</v>
      </c>
      <c r="D32" s="11">
        <v>7.277577</v>
      </c>
      <c r="E32" s="12">
        <v>41584596000</v>
      </c>
      <c r="F32" s="11">
        <v>6.3753462940940002</v>
      </c>
      <c r="G32">
        <v>59.445213799840687</v>
      </c>
      <c r="H32">
        <v>0.32549284281440832</v>
      </c>
      <c r="I32">
        <v>1.745937369227778</v>
      </c>
      <c r="J32" s="19">
        <v>12</v>
      </c>
      <c r="K32" s="9">
        <v>0.25</v>
      </c>
      <c r="L32">
        <v>4</v>
      </c>
      <c r="M32">
        <v>1.6678590410685672</v>
      </c>
      <c r="N32">
        <v>1.2265331664580801</v>
      </c>
      <c r="O32">
        <v>10.099627474942242</v>
      </c>
      <c r="P32">
        <v>1.11511910325115</v>
      </c>
      <c r="Q32">
        <v>3</v>
      </c>
    </row>
    <row r="33" spans="1:17" ht="39.6" x14ac:dyDescent="0.3">
      <c r="A33" s="10" t="s">
        <v>144</v>
      </c>
      <c r="B33" s="9">
        <v>2017</v>
      </c>
      <c r="C33" s="11">
        <v>0.41910900000000001</v>
      </c>
      <c r="D33" s="11">
        <v>6.0874949999999997</v>
      </c>
      <c r="E33" s="12">
        <v>41624654000</v>
      </c>
      <c r="F33" s="11">
        <v>6.6535399909870003</v>
      </c>
      <c r="G33">
        <v>58.941592643628937</v>
      </c>
      <c r="H33">
        <v>0.94452510724402483</v>
      </c>
      <c r="I33">
        <v>1.3231845813085916</v>
      </c>
      <c r="J33" s="21">
        <v>15</v>
      </c>
      <c r="K33" s="9">
        <v>0.4</v>
      </c>
      <c r="L33">
        <v>3</v>
      </c>
      <c r="M33">
        <v>1.6678590410685672</v>
      </c>
      <c r="N33">
        <v>1.2265331664580801</v>
      </c>
      <c r="O33">
        <v>4.1591209717012347</v>
      </c>
      <c r="P33">
        <v>1.15699420031998</v>
      </c>
      <c r="Q33">
        <v>2</v>
      </c>
    </row>
    <row r="34" spans="1:17" ht="39.6" x14ac:dyDescent="0.3">
      <c r="A34" s="10" t="s">
        <v>148</v>
      </c>
      <c r="B34" s="9">
        <v>2017</v>
      </c>
      <c r="C34" s="11">
        <v>-1.301698</v>
      </c>
      <c r="D34" s="11">
        <v>-20.480974</v>
      </c>
      <c r="E34" s="12">
        <v>24956824000</v>
      </c>
      <c r="F34" s="11">
        <v>5.7998004874340001</v>
      </c>
      <c r="G34">
        <v>63.986026427080624</v>
      </c>
      <c r="H34">
        <v>2.2465194803893573</v>
      </c>
      <c r="I34">
        <v>0.70165979501037479</v>
      </c>
      <c r="J34" s="21">
        <v>15</v>
      </c>
      <c r="K34" s="9">
        <v>0.4</v>
      </c>
      <c r="L34">
        <v>3</v>
      </c>
      <c r="M34">
        <v>1.6678590410685672</v>
      </c>
      <c r="N34">
        <v>1.2265331664580801</v>
      </c>
      <c r="O34">
        <v>-1.6374420286736941</v>
      </c>
      <c r="Q34">
        <v>2</v>
      </c>
    </row>
    <row r="35" spans="1:17" x14ac:dyDescent="0.3">
      <c r="A35" s="10" t="s">
        <v>151</v>
      </c>
      <c r="B35" s="9">
        <v>2017</v>
      </c>
      <c r="C35" s="11">
        <v>-1.541676</v>
      </c>
      <c r="D35" s="11">
        <v>-17.851262999999999</v>
      </c>
      <c r="E35" s="12">
        <v>24919704000</v>
      </c>
      <c r="F35" s="11">
        <v>9.1046386425779993</v>
      </c>
      <c r="G35">
        <v>63.218784621197742</v>
      </c>
      <c r="H35">
        <v>2.7136142629517175</v>
      </c>
      <c r="I35">
        <v>0.91710960631033178</v>
      </c>
      <c r="J35" s="21">
        <v>14</v>
      </c>
      <c r="K35" s="9">
        <v>0.9285714285714286</v>
      </c>
      <c r="L35">
        <v>2</v>
      </c>
      <c r="M35">
        <v>1.6678590410685672</v>
      </c>
      <c r="N35">
        <v>1.2265331664580801</v>
      </c>
      <c r="O35">
        <v>-1.0834813073745593</v>
      </c>
      <c r="P35">
        <v>2.3006711084199098</v>
      </c>
      <c r="Q35">
        <v>1</v>
      </c>
    </row>
    <row r="36" spans="1:17" ht="26.4" x14ac:dyDescent="0.3">
      <c r="A36" s="10" t="s">
        <v>153</v>
      </c>
      <c r="B36" s="9">
        <v>2017</v>
      </c>
      <c r="C36" s="11">
        <v>0.34109299999999998</v>
      </c>
      <c r="D36" s="11">
        <v>4.7366599999999996</v>
      </c>
      <c r="E36" s="12">
        <v>13995822000</v>
      </c>
      <c r="F36" s="11">
        <v>7.0009535702869998</v>
      </c>
      <c r="G36">
        <v>74.922830541857422</v>
      </c>
      <c r="H36">
        <v>0.75377171953714583</v>
      </c>
      <c r="I36">
        <v>1.7017792870815305</v>
      </c>
      <c r="J36" s="21">
        <v>12</v>
      </c>
      <c r="K36" s="9">
        <v>0.41666666666666674</v>
      </c>
      <c r="L36">
        <v>4</v>
      </c>
      <c r="M36">
        <v>1.6678590410685672</v>
      </c>
      <c r="N36">
        <v>1.2265331664580801</v>
      </c>
      <c r="O36">
        <v>2.6969736055375044</v>
      </c>
      <c r="Q36">
        <v>3</v>
      </c>
    </row>
    <row r="37" spans="1:17" x14ac:dyDescent="0.3">
      <c r="A37" s="10" t="s">
        <v>155</v>
      </c>
      <c r="B37" s="9">
        <v>2017</v>
      </c>
      <c r="C37" s="11">
        <v>2.3531010000000001</v>
      </c>
      <c r="D37" s="11">
        <v>29.525001</v>
      </c>
      <c r="E37" s="12">
        <v>8991011000</v>
      </c>
      <c r="F37" s="11">
        <v>8.1867322818310004</v>
      </c>
      <c r="G37">
        <v>32.343515095243461</v>
      </c>
      <c r="H37">
        <v>6.2104346994799539E-2</v>
      </c>
      <c r="I37">
        <v>5.4416015916012119</v>
      </c>
      <c r="J37" s="21">
        <v>9</v>
      </c>
      <c r="K37" s="9">
        <v>0.55555555555555558</v>
      </c>
      <c r="L37">
        <v>4</v>
      </c>
      <c r="M37">
        <v>1.6678590410685672</v>
      </c>
      <c r="N37">
        <v>1.2265331664580801</v>
      </c>
      <c r="O37">
        <v>5.3650217240246683</v>
      </c>
      <c r="Q37">
        <v>3</v>
      </c>
    </row>
    <row r="38" spans="1:17" x14ac:dyDescent="0.3">
      <c r="A38" s="10" t="s">
        <v>122</v>
      </c>
      <c r="B38" s="9">
        <v>2016</v>
      </c>
      <c r="C38" s="11">
        <v>0.456729</v>
      </c>
      <c r="D38" s="11">
        <v>6.5385239999999998</v>
      </c>
      <c r="E38" s="12">
        <v>725138000000</v>
      </c>
      <c r="F38" s="11">
        <v>6.8013260924130003</v>
      </c>
      <c r="G38">
        <v>46.166798595577667</v>
      </c>
      <c r="H38">
        <v>0.90389607286131202</v>
      </c>
      <c r="I38">
        <v>1.1211659073776301</v>
      </c>
      <c r="J38" s="18">
        <v>19</v>
      </c>
      <c r="K38" s="9">
        <v>0.73684210526315785</v>
      </c>
      <c r="L38">
        <v>5</v>
      </c>
      <c r="M38">
        <v>1.2934627315590745</v>
      </c>
      <c r="N38">
        <v>-9.4016656915727095E-2</v>
      </c>
      <c r="O38">
        <v>0.74510892044571764</v>
      </c>
      <c r="P38">
        <v>1.5813206516174001</v>
      </c>
      <c r="Q38">
        <v>4</v>
      </c>
    </row>
    <row r="39" spans="1:17" x14ac:dyDescent="0.3">
      <c r="A39" s="10" t="s">
        <v>126</v>
      </c>
      <c r="B39" s="9">
        <v>2016</v>
      </c>
      <c r="C39" s="11">
        <v>-1.3170390000000001</v>
      </c>
      <c r="D39" s="11">
        <v>-23.432016000000001</v>
      </c>
      <c r="E39" s="12">
        <v>859532774000</v>
      </c>
      <c r="F39" s="11">
        <v>5.0246253902589997</v>
      </c>
      <c r="G39">
        <v>48.615761450883319</v>
      </c>
      <c r="H39">
        <v>2.8549141103640707</v>
      </c>
      <c r="I39">
        <v>1.1187872302216577</v>
      </c>
      <c r="J39" s="19">
        <v>17</v>
      </c>
      <c r="K39" s="9">
        <v>0.88235294117647056</v>
      </c>
      <c r="L39">
        <v>5</v>
      </c>
      <c r="M39">
        <v>1.2934627315590745</v>
      </c>
      <c r="N39">
        <v>-9.4016656915727095E-2</v>
      </c>
      <c r="O39">
        <v>-1.5050552161147335</v>
      </c>
      <c r="P39">
        <v>1.8912470837717399</v>
      </c>
      <c r="Q39">
        <v>4</v>
      </c>
    </row>
    <row r="40" spans="1:17" x14ac:dyDescent="0.3">
      <c r="A40" s="10" t="s">
        <v>128</v>
      </c>
      <c r="B40" s="9">
        <v>2016</v>
      </c>
      <c r="C40" s="13"/>
      <c r="D40" s="13"/>
      <c r="E40" s="12">
        <v>168254920000</v>
      </c>
      <c r="F40" s="11">
        <v>7.1315436125140002</v>
      </c>
      <c r="G40">
        <v>65.704215959925577</v>
      </c>
      <c r="H40">
        <v>2.6758358997604859</v>
      </c>
      <c r="I40">
        <v>1.5694542622074887</v>
      </c>
      <c r="J40" s="19">
        <v>19</v>
      </c>
      <c r="K40" s="9">
        <v>0.68421052631578949</v>
      </c>
      <c r="M40">
        <v>1.2934627315590745</v>
      </c>
      <c r="N40">
        <v>-9.4016656915727095E-2</v>
      </c>
    </row>
    <row r="41" spans="1:17" ht="26.4" x14ac:dyDescent="0.3">
      <c r="A41" s="10" t="s">
        <v>131</v>
      </c>
      <c r="B41" s="9">
        <v>2016</v>
      </c>
      <c r="C41" s="11">
        <v>-2.0058769999999999</v>
      </c>
      <c r="D41" s="11">
        <v>-40.183745000000002</v>
      </c>
      <c r="E41" s="12">
        <v>153178466000</v>
      </c>
      <c r="F41" s="11">
        <v>4.2174825017510003</v>
      </c>
      <c r="G41">
        <v>63.871947248773211</v>
      </c>
      <c r="H41">
        <v>4.5657319749432093</v>
      </c>
      <c r="I41">
        <v>1.7587498200957501</v>
      </c>
      <c r="J41" s="19">
        <v>14</v>
      </c>
      <c r="K41" s="9">
        <v>0.61538461538461542</v>
      </c>
      <c r="L41">
        <v>5</v>
      </c>
      <c r="M41">
        <v>1.2934627315590745</v>
      </c>
      <c r="N41">
        <v>-9.4016656915727095E-2</v>
      </c>
      <c r="O41">
        <v>-1.8346583314149776</v>
      </c>
      <c r="P41">
        <v>2.0711399117377902</v>
      </c>
      <c r="Q41">
        <v>4</v>
      </c>
    </row>
    <row r="42" spans="1:17" x14ac:dyDescent="0.3">
      <c r="A42" s="10" t="s">
        <v>133</v>
      </c>
      <c r="B42" s="9">
        <v>2016</v>
      </c>
      <c r="C42" s="11">
        <v>2.5058E-2</v>
      </c>
      <c r="D42" s="11">
        <v>0.28220400000000001</v>
      </c>
      <c r="E42" s="12">
        <v>64960024000</v>
      </c>
      <c r="F42" s="11">
        <v>8.5525106948849992</v>
      </c>
      <c r="G42">
        <v>70.034116674587438</v>
      </c>
      <c r="H42">
        <v>1.362262191828981</v>
      </c>
      <c r="I42">
        <v>1.6163171284878528</v>
      </c>
      <c r="J42" s="19">
        <v>17</v>
      </c>
      <c r="K42" s="9">
        <v>0.35294117647058826</v>
      </c>
      <c r="L42">
        <v>3</v>
      </c>
      <c r="M42">
        <v>1.2934627315590745</v>
      </c>
      <c r="N42">
        <v>-9.4016656915727095E-2</v>
      </c>
      <c r="O42">
        <v>0.57176752909260964</v>
      </c>
      <c r="P42">
        <v>2.1421339490789602</v>
      </c>
      <c r="Q42">
        <v>2</v>
      </c>
    </row>
    <row r="43" spans="1:17" ht="26.4" x14ac:dyDescent="0.3">
      <c r="A43" s="10" t="s">
        <v>140</v>
      </c>
      <c r="B43" s="9">
        <v>2016</v>
      </c>
      <c r="C43" s="11">
        <v>0.90798400000000001</v>
      </c>
      <c r="D43" s="11">
        <v>18.647055999999999</v>
      </c>
      <c r="E43" s="12">
        <v>41971360000</v>
      </c>
      <c r="F43" s="11">
        <v>5.1241132048139999</v>
      </c>
      <c r="G43">
        <v>18.640415750168689</v>
      </c>
      <c r="H43">
        <v>0.14085522383710081</v>
      </c>
      <c r="I43">
        <v>1.855617725340089</v>
      </c>
      <c r="J43" s="19">
        <v>11</v>
      </c>
      <c r="K43" s="9">
        <v>0.27272727272727271</v>
      </c>
      <c r="L43">
        <v>3</v>
      </c>
      <c r="M43">
        <v>1.2934627315590745</v>
      </c>
      <c r="N43">
        <v>-9.4016656915727095E-2</v>
      </c>
      <c r="O43">
        <v>1.974406035830373</v>
      </c>
      <c r="Q43">
        <v>2</v>
      </c>
    </row>
    <row r="44" spans="1:17" ht="26.4" x14ac:dyDescent="0.3">
      <c r="A44" s="10" t="s">
        <v>142</v>
      </c>
      <c r="B44" s="9">
        <v>2016</v>
      </c>
      <c r="C44" s="11">
        <v>0.34260600000000002</v>
      </c>
      <c r="D44" s="11">
        <v>5.327026</v>
      </c>
      <c r="E44" s="12">
        <v>39569033000</v>
      </c>
      <c r="F44" s="11">
        <v>6.252586460731</v>
      </c>
      <c r="G44">
        <v>59.863381043453856</v>
      </c>
      <c r="H44">
        <v>0.3354151608530811</v>
      </c>
      <c r="I44">
        <v>1.8268831468898166</v>
      </c>
      <c r="J44" s="19">
        <v>12</v>
      </c>
      <c r="K44" s="9">
        <v>0.25</v>
      </c>
      <c r="L44">
        <v>3</v>
      </c>
      <c r="M44">
        <v>1.2934627315590745</v>
      </c>
      <c r="N44">
        <v>-9.4016656915727095E-2</v>
      </c>
      <c r="O44">
        <v>6.8515682322969553</v>
      </c>
      <c r="P44">
        <v>1.3496634869337401</v>
      </c>
      <c r="Q44">
        <v>2</v>
      </c>
    </row>
    <row r="45" spans="1:17" ht="39.6" x14ac:dyDescent="0.3">
      <c r="A45" s="10" t="s">
        <v>144</v>
      </c>
      <c r="B45" s="9">
        <v>2016</v>
      </c>
      <c r="C45" s="11">
        <v>0.27461099999999999</v>
      </c>
      <c r="D45" s="11">
        <v>3.763944</v>
      </c>
      <c r="E45" s="12">
        <v>37201570000</v>
      </c>
      <c r="F45" s="11">
        <v>7.1434646440999998</v>
      </c>
      <c r="G45">
        <v>66.165290873476579</v>
      </c>
      <c r="H45">
        <v>1.0161519658695859</v>
      </c>
      <c r="I45">
        <v>1.3138101489028555</v>
      </c>
      <c r="J45" s="21">
        <v>15</v>
      </c>
      <c r="K45" s="9">
        <v>0.4</v>
      </c>
      <c r="L45">
        <v>3</v>
      </c>
      <c r="M45">
        <v>1.2934627315590745</v>
      </c>
      <c r="N45">
        <v>-9.4016656915727095E-2</v>
      </c>
      <c r="O45">
        <v>3.4782656177108251</v>
      </c>
      <c r="P45">
        <v>1.1407925892269399</v>
      </c>
      <c r="Q45">
        <v>2</v>
      </c>
    </row>
    <row r="46" spans="1:17" ht="39.6" x14ac:dyDescent="0.3">
      <c r="A46" s="10" t="s">
        <v>148</v>
      </c>
      <c r="B46" s="9">
        <v>2016</v>
      </c>
      <c r="C46" s="11">
        <v>-1.2553939999999999</v>
      </c>
      <c r="D46" s="11">
        <v>-16.664909000000002</v>
      </c>
      <c r="E46" s="12">
        <v>25469459000</v>
      </c>
      <c r="F46" s="11">
        <v>6.9003036146149999</v>
      </c>
      <c r="G46">
        <v>67.933669105417593</v>
      </c>
      <c r="H46">
        <v>2.6995195678179447</v>
      </c>
      <c r="I46">
        <v>1.3739789211871363</v>
      </c>
      <c r="J46" s="21">
        <v>15</v>
      </c>
      <c r="K46" s="9">
        <v>0.4</v>
      </c>
      <c r="L46">
        <v>2</v>
      </c>
      <c r="M46">
        <v>1.2934627315590745</v>
      </c>
      <c r="N46">
        <v>-9.4016656915727095E-2</v>
      </c>
      <c r="O46">
        <v>-1.51610349704306</v>
      </c>
      <c r="Q46">
        <v>1</v>
      </c>
    </row>
    <row r="47" spans="1:17" x14ac:dyDescent="0.3">
      <c r="A47" s="10" t="s">
        <v>151</v>
      </c>
      <c r="B47" s="9">
        <v>2016</v>
      </c>
      <c r="C47" s="11">
        <v>-1.0500579999999999</v>
      </c>
      <c r="D47" s="11">
        <v>-12.936237999999999</v>
      </c>
      <c r="E47" s="12">
        <v>26111004000</v>
      </c>
      <c r="F47" s="11">
        <v>8.1891872101129994</v>
      </c>
      <c r="G47">
        <v>69.879836868777616</v>
      </c>
      <c r="H47">
        <v>2.5747483315409179</v>
      </c>
      <c r="I47">
        <v>1.577051577878047</v>
      </c>
      <c r="J47" s="21">
        <v>14</v>
      </c>
      <c r="K47" s="9">
        <v>0.8571428571428571</v>
      </c>
      <c r="L47">
        <v>2</v>
      </c>
      <c r="M47">
        <v>1.2934627315590745</v>
      </c>
      <c r="N47">
        <v>-9.4016656915727095E-2</v>
      </c>
      <c r="O47">
        <v>-0.647766341219431</v>
      </c>
      <c r="P47">
        <v>2.05183396905867</v>
      </c>
      <c r="Q47">
        <v>1</v>
      </c>
    </row>
    <row r="48" spans="1:17" ht="26.4" x14ac:dyDescent="0.3">
      <c r="A48" s="10" t="s">
        <v>153</v>
      </c>
      <c r="B48" s="9">
        <v>2016</v>
      </c>
      <c r="C48" s="11">
        <v>0.20749999999999999</v>
      </c>
      <c r="D48" s="11">
        <v>2.7749220000000001</v>
      </c>
      <c r="E48" s="12">
        <v>12365903000</v>
      </c>
      <c r="F48" s="11">
        <v>7.4276904808330002</v>
      </c>
      <c r="G48">
        <v>76.892298120080682</v>
      </c>
      <c r="H48">
        <v>0.94798014434984879</v>
      </c>
      <c r="I48">
        <v>1.8492624411488592</v>
      </c>
      <c r="J48" s="21">
        <v>11</v>
      </c>
      <c r="K48" s="9">
        <v>0.36363636363636365</v>
      </c>
      <c r="L48">
        <v>4</v>
      </c>
      <c r="M48">
        <v>1.2934627315590745</v>
      </c>
      <c r="N48">
        <v>-9.4016656915727095E-2</v>
      </c>
      <c r="O48">
        <v>1.7612473401069224</v>
      </c>
      <c r="Q48">
        <v>3</v>
      </c>
    </row>
    <row r="49" spans="1:17" x14ac:dyDescent="0.3">
      <c r="A49" s="10" t="s">
        <v>155</v>
      </c>
      <c r="B49" s="9">
        <v>2016</v>
      </c>
      <c r="C49" s="11">
        <v>2.1543100000000002</v>
      </c>
      <c r="D49" s="11">
        <v>24.295439999999999</v>
      </c>
      <c r="E49" s="12">
        <v>8356735000</v>
      </c>
      <c r="F49" s="11">
        <v>7.7365262868810003</v>
      </c>
      <c r="G49">
        <v>22.519883662698412</v>
      </c>
      <c r="H49">
        <v>-0.10207622293532108</v>
      </c>
      <c r="I49">
        <v>4.7013456801528344</v>
      </c>
      <c r="J49" s="21">
        <v>9</v>
      </c>
      <c r="K49" s="9">
        <v>0.55555555555555558</v>
      </c>
      <c r="L49">
        <v>4</v>
      </c>
      <c r="M49">
        <v>1.2934627315590745</v>
      </c>
      <c r="N49">
        <v>-9.4016656915727095E-2</v>
      </c>
      <c r="O49">
        <v>4.3179314168015468</v>
      </c>
      <c r="Q49">
        <v>3</v>
      </c>
    </row>
    <row r="50" spans="1:17" x14ac:dyDescent="0.3">
      <c r="A50" s="10" t="s">
        <v>122</v>
      </c>
      <c r="B50" s="9">
        <v>2015</v>
      </c>
      <c r="C50" s="11">
        <v>0.41330499999999998</v>
      </c>
      <c r="D50" s="11">
        <v>5.8384499999999999</v>
      </c>
      <c r="E50" s="12">
        <v>676568000000</v>
      </c>
      <c r="F50" s="11">
        <v>7.1822787953320004</v>
      </c>
      <c r="G50">
        <v>51.3374856629341</v>
      </c>
      <c r="H50">
        <v>0.79203530905499908</v>
      </c>
      <c r="I50">
        <v>1.2312140114075747</v>
      </c>
      <c r="J50" s="19">
        <v>19</v>
      </c>
      <c r="K50" s="9">
        <v>0.73684210526315785</v>
      </c>
      <c r="L50">
        <v>3</v>
      </c>
      <c r="M50">
        <v>0.77830435071658144</v>
      </c>
      <c r="N50">
        <v>3.87903996579552E-2</v>
      </c>
      <c r="O50">
        <v>0.69259114820253054</v>
      </c>
      <c r="P50">
        <v>1.59191493811604</v>
      </c>
      <c r="Q50">
        <v>2</v>
      </c>
    </row>
    <row r="51" spans="1:17" x14ac:dyDescent="0.3">
      <c r="A51" s="10" t="s">
        <v>126</v>
      </c>
      <c r="B51" s="9">
        <v>2015</v>
      </c>
      <c r="C51" s="11">
        <v>0.24004300000000001</v>
      </c>
      <c r="D51" s="11">
        <v>3.8486220000000002</v>
      </c>
      <c r="E51" s="12">
        <v>860433375000</v>
      </c>
      <c r="F51" s="11">
        <v>6.2161144086259998</v>
      </c>
      <c r="G51">
        <v>48.556073501914078</v>
      </c>
      <c r="H51">
        <v>0.94881609002505662</v>
      </c>
      <c r="I51">
        <v>1.0472665660208613</v>
      </c>
      <c r="J51" s="19">
        <v>17</v>
      </c>
      <c r="K51" s="9">
        <v>0.88235294117647056</v>
      </c>
      <c r="L51">
        <v>1</v>
      </c>
      <c r="M51">
        <v>0.77830435071658144</v>
      </c>
      <c r="N51">
        <v>3.87903996579552E-2</v>
      </c>
      <c r="O51">
        <v>0.38728701360871565</v>
      </c>
      <c r="P51">
        <v>1.65246651960045</v>
      </c>
      <c r="Q51">
        <v>0</v>
      </c>
    </row>
    <row r="52" spans="1:17" ht="26.4" x14ac:dyDescent="0.3">
      <c r="A52" s="10" t="s">
        <v>131</v>
      </c>
      <c r="B52" s="9">
        <v>2015</v>
      </c>
      <c r="C52" s="11">
        <v>0.22122900000000001</v>
      </c>
      <c r="D52" s="11">
        <v>4.9946710000000003</v>
      </c>
      <c r="E52" s="12">
        <v>169011977000</v>
      </c>
      <c r="F52" s="11">
        <v>5.6935053780239997</v>
      </c>
      <c r="G52">
        <v>63.120027878260956</v>
      </c>
      <c r="H52">
        <v>1.8664008284107878</v>
      </c>
      <c r="I52">
        <v>1.9721075832282289</v>
      </c>
      <c r="J52" s="19">
        <v>14</v>
      </c>
      <c r="K52" s="9">
        <v>0.5714285714285714</v>
      </c>
      <c r="L52">
        <v>4</v>
      </c>
      <c r="M52">
        <v>0.77830435071658144</v>
      </c>
      <c r="N52">
        <v>3.87903996579552E-2</v>
      </c>
      <c r="O52">
        <v>0.22200369010092047</v>
      </c>
      <c r="P52">
        <v>1.7601060611055099</v>
      </c>
      <c r="Q52">
        <v>3</v>
      </c>
    </row>
    <row r="53" spans="1:17" x14ac:dyDescent="0.3">
      <c r="A53" s="10" t="s">
        <v>133</v>
      </c>
      <c r="B53" s="9">
        <v>2015</v>
      </c>
      <c r="C53" s="11">
        <v>0.35965000000000003</v>
      </c>
      <c r="D53" s="11">
        <v>3.92821</v>
      </c>
      <c r="E53" s="12">
        <v>61261231000</v>
      </c>
      <c r="F53" s="11">
        <v>9.2257336454759997</v>
      </c>
      <c r="G53">
        <v>71.338039224187327</v>
      </c>
      <c r="H53">
        <v>1.6150060404926843</v>
      </c>
      <c r="I53">
        <v>2.1346894050391509</v>
      </c>
      <c r="J53" s="19">
        <v>18</v>
      </c>
      <c r="K53" s="9">
        <v>0.44444444444444442</v>
      </c>
      <c r="L53">
        <v>2</v>
      </c>
      <c r="M53">
        <v>0.77830435071658144</v>
      </c>
      <c r="N53">
        <v>3.87903996579552E-2</v>
      </c>
      <c r="O53">
        <v>1.8274918731765022</v>
      </c>
      <c r="P53">
        <v>1.4297079954915799</v>
      </c>
      <c r="Q53">
        <v>1</v>
      </c>
    </row>
    <row r="54" spans="1:17" ht="26.4" x14ac:dyDescent="0.3">
      <c r="A54" s="10" t="s">
        <v>140</v>
      </c>
      <c r="B54" s="9">
        <v>2015</v>
      </c>
      <c r="C54" s="11">
        <v>1.0053240000000001</v>
      </c>
      <c r="D54" s="11">
        <v>22.588640000000002</v>
      </c>
      <c r="E54" s="12">
        <v>44710171000</v>
      </c>
      <c r="F54" s="11">
        <v>4.6301209628570001</v>
      </c>
      <c r="G54">
        <v>16.619580810818192</v>
      </c>
      <c r="H54">
        <v>0.17715828899329439</v>
      </c>
      <c r="I54">
        <v>1.9105071320721183</v>
      </c>
      <c r="J54" s="19">
        <v>15</v>
      </c>
      <c r="K54" s="9">
        <v>0.4</v>
      </c>
      <c r="L54">
        <v>2</v>
      </c>
      <c r="M54">
        <v>0.77830435071658144</v>
      </c>
      <c r="N54">
        <v>3.87903996579552E-2</v>
      </c>
      <c r="O54">
        <v>2.0607153498179391</v>
      </c>
      <c r="Q54">
        <v>1</v>
      </c>
    </row>
    <row r="55" spans="1:17" ht="26.4" x14ac:dyDescent="0.3">
      <c r="A55" s="10" t="s">
        <v>142</v>
      </c>
      <c r="B55" s="9">
        <v>2015</v>
      </c>
      <c r="C55" s="11">
        <v>0.45997700000000002</v>
      </c>
      <c r="D55" s="11">
        <v>6.8434410000000003</v>
      </c>
      <c r="E55" s="12">
        <v>37455301000</v>
      </c>
      <c r="F55" s="11">
        <v>6.6204460618269998</v>
      </c>
      <c r="G55">
        <v>60.470463179564362</v>
      </c>
      <c r="H55">
        <v>0.50502013431352732</v>
      </c>
      <c r="I55">
        <v>2.0090453898966127</v>
      </c>
      <c r="J55" s="19">
        <v>13</v>
      </c>
      <c r="K55" s="9">
        <v>0.23076923076923075</v>
      </c>
      <c r="L55">
        <v>2</v>
      </c>
      <c r="M55">
        <v>0.77830435071658144</v>
      </c>
      <c r="N55">
        <v>3.87903996579552E-2</v>
      </c>
      <c r="O55">
        <v>7.1044454396232997</v>
      </c>
      <c r="P55">
        <v>1.39112509560043</v>
      </c>
      <c r="Q55">
        <v>1</v>
      </c>
    </row>
    <row r="56" spans="1:17" ht="39.6" x14ac:dyDescent="0.3">
      <c r="A56" s="10" t="s">
        <v>144</v>
      </c>
      <c r="B56" s="9">
        <v>2015</v>
      </c>
      <c r="C56" s="11">
        <v>0.38647199999999998</v>
      </c>
      <c r="D56" s="11">
        <v>5.3510799999999996</v>
      </c>
      <c r="E56" s="12">
        <v>35537648000</v>
      </c>
      <c r="F56" s="11">
        <v>7.4553386313020003</v>
      </c>
      <c r="G56">
        <v>65.537491395041116</v>
      </c>
      <c r="H56">
        <v>1.6744307106039837</v>
      </c>
      <c r="I56">
        <v>1.69873370014203</v>
      </c>
      <c r="J56" s="21">
        <v>14</v>
      </c>
      <c r="K56" s="9">
        <v>0.35714285714285715</v>
      </c>
      <c r="L56">
        <v>1</v>
      </c>
      <c r="M56">
        <v>0.77830435071658144</v>
      </c>
      <c r="N56">
        <v>3.87903996579552E-2</v>
      </c>
      <c r="O56">
        <v>3.0433178574272546</v>
      </c>
      <c r="P56">
        <v>0.78012429374463799</v>
      </c>
      <c r="Q56">
        <v>0</v>
      </c>
    </row>
    <row r="57" spans="1:17" ht="39.6" x14ac:dyDescent="0.3">
      <c r="A57" s="10" t="s">
        <v>148</v>
      </c>
      <c r="B57" s="9">
        <v>2015</v>
      </c>
      <c r="C57" s="11">
        <v>0.43886700000000001</v>
      </c>
      <c r="D57" s="11">
        <v>5.804824</v>
      </c>
      <c r="E57" s="12">
        <v>26901681000</v>
      </c>
      <c r="F57" s="11">
        <v>8.1323170845719996</v>
      </c>
      <c r="G57">
        <v>67.889921079652979</v>
      </c>
      <c r="H57">
        <v>2.4092220945238956</v>
      </c>
      <c r="I57">
        <v>1.671404832240186</v>
      </c>
      <c r="J57" s="21">
        <v>15</v>
      </c>
      <c r="K57" s="9">
        <v>0.53333333333333333</v>
      </c>
      <c r="L57">
        <v>1</v>
      </c>
      <c r="M57">
        <v>0.77830435071658144</v>
      </c>
      <c r="N57">
        <v>3.87903996579552E-2</v>
      </c>
      <c r="O57">
        <v>0.71774709177495477</v>
      </c>
      <c r="Q57">
        <v>0</v>
      </c>
    </row>
    <row r="58" spans="1:17" x14ac:dyDescent="0.3">
      <c r="A58" s="10" t="s">
        <v>151</v>
      </c>
      <c r="B58" s="9">
        <v>2015</v>
      </c>
      <c r="C58" s="11">
        <v>-0.37947900000000001</v>
      </c>
      <c r="D58" s="11">
        <v>-6.114776</v>
      </c>
      <c r="E58" s="12">
        <v>30279806000</v>
      </c>
      <c r="F58" s="11">
        <v>8.0550846329729993</v>
      </c>
      <c r="G58">
        <v>67.248132303093357</v>
      </c>
      <c r="H58">
        <v>1.5650945232741353</v>
      </c>
      <c r="I58">
        <v>1.5269021240894673</v>
      </c>
      <c r="J58" s="21">
        <v>15</v>
      </c>
      <c r="K58" s="9">
        <v>0.66666666666666652</v>
      </c>
      <c r="L58">
        <v>2</v>
      </c>
      <c r="M58">
        <v>0.77830435071658144</v>
      </c>
      <c r="N58">
        <v>3.87903996579552E-2</v>
      </c>
      <c r="O58">
        <v>-0.17439209096225589</v>
      </c>
      <c r="P58">
        <v>1.2051156640945999</v>
      </c>
      <c r="Q58">
        <v>1</v>
      </c>
    </row>
    <row r="59" spans="1:17" ht="26.4" x14ac:dyDescent="0.3">
      <c r="A59" s="10" t="s">
        <v>153</v>
      </c>
      <c r="B59" s="9">
        <v>2015</v>
      </c>
      <c r="C59" s="11">
        <v>0.30306499999999997</v>
      </c>
      <c r="D59" s="11">
        <v>4.1268659999999997</v>
      </c>
      <c r="E59" s="12">
        <v>12248130000</v>
      </c>
      <c r="F59" s="11">
        <v>7.5281287837409998</v>
      </c>
      <c r="G59">
        <v>76.634645451999617</v>
      </c>
      <c r="H59">
        <v>1.5280657118648635</v>
      </c>
      <c r="I59">
        <v>2.0462797018945751</v>
      </c>
      <c r="J59" s="21">
        <v>11</v>
      </c>
      <c r="K59" s="9">
        <v>0.36363636363636365</v>
      </c>
      <c r="L59">
        <v>2</v>
      </c>
      <c r="M59">
        <v>0.77830435071658144</v>
      </c>
      <c r="N59">
        <v>3.87903996579552E-2</v>
      </c>
      <c r="O59">
        <v>2.048329497748886</v>
      </c>
      <c r="Q59">
        <v>1</v>
      </c>
    </row>
    <row r="60" spans="1:17" x14ac:dyDescent="0.3">
      <c r="A60" s="10" t="s">
        <v>155</v>
      </c>
      <c r="B60" s="9">
        <v>2015</v>
      </c>
      <c r="C60" s="11">
        <v>3.3217159999999999</v>
      </c>
      <c r="D60" s="11">
        <v>34.704281000000002</v>
      </c>
      <c r="E60" s="12">
        <v>6116017000</v>
      </c>
      <c r="F60" s="11">
        <v>10.411972366983001</v>
      </c>
      <c r="G60">
        <v>31.426008135686999</v>
      </c>
      <c r="H60">
        <v>5.8324054900573352E-2</v>
      </c>
      <c r="I60">
        <v>7.3465623464906979</v>
      </c>
      <c r="J60" s="21">
        <v>9</v>
      </c>
      <c r="K60" s="9">
        <v>0.55555555555555558</v>
      </c>
      <c r="L60">
        <v>1</v>
      </c>
      <c r="M60">
        <v>0.77830435071658144</v>
      </c>
      <c r="N60">
        <v>3.87903996579552E-2</v>
      </c>
      <c r="O60">
        <v>6.6853701543636577</v>
      </c>
      <c r="Q60">
        <v>0</v>
      </c>
    </row>
    <row r="61" spans="1:17" x14ac:dyDescent="0.3">
      <c r="A61" s="10" t="s">
        <v>122</v>
      </c>
      <c r="B61" s="9">
        <v>2014</v>
      </c>
      <c r="C61" s="11">
        <v>0.20585999999999999</v>
      </c>
      <c r="D61" s="11">
        <v>2.907235</v>
      </c>
      <c r="E61" s="12">
        <v>646427000000</v>
      </c>
      <c r="F61" s="11">
        <v>6.9709340729890004</v>
      </c>
      <c r="G61">
        <v>49.839811765288268</v>
      </c>
      <c r="H61">
        <v>1.2732092197480895</v>
      </c>
      <c r="I61">
        <v>1.1967321810722633</v>
      </c>
      <c r="J61" s="19">
        <v>19</v>
      </c>
      <c r="K61" s="9">
        <v>0.73684210526315785</v>
      </c>
      <c r="L61">
        <v>2</v>
      </c>
      <c r="M61">
        <v>-4.5475423638379198E-3</v>
      </c>
      <c r="N61">
        <v>0.24104742982677299</v>
      </c>
      <c r="O61">
        <v>0.388902288327239</v>
      </c>
      <c r="Q61">
        <v>1</v>
      </c>
    </row>
    <row r="62" spans="1:17" x14ac:dyDescent="0.3">
      <c r="A62" s="10" t="s">
        <v>126</v>
      </c>
      <c r="B62" s="9">
        <v>2014</v>
      </c>
      <c r="C62" s="11">
        <v>0.285968</v>
      </c>
      <c r="D62" s="11">
        <v>4.6418470000000003</v>
      </c>
      <c r="E62" s="12">
        <v>844217390000</v>
      </c>
      <c r="F62" s="11">
        <v>6.2585244779189999</v>
      </c>
      <c r="G62">
        <v>52.469767769176137</v>
      </c>
      <c r="H62">
        <v>0.94329585933777726</v>
      </c>
      <c r="I62">
        <v>1.3443621353417348</v>
      </c>
      <c r="J62" s="19">
        <v>17</v>
      </c>
      <c r="K62" s="9">
        <v>0.88235294117647056</v>
      </c>
      <c r="L62">
        <v>1</v>
      </c>
      <c r="M62">
        <v>-4.5475423638379198E-3</v>
      </c>
      <c r="N62">
        <v>0.24104742982677299</v>
      </c>
      <c r="O62">
        <v>0.44922059502242412</v>
      </c>
      <c r="Q62">
        <v>0</v>
      </c>
    </row>
    <row r="63" spans="1:17" ht="26.4" x14ac:dyDescent="0.3">
      <c r="A63" s="10" t="s">
        <v>131</v>
      </c>
      <c r="B63" s="9">
        <v>2014</v>
      </c>
      <c r="C63" s="11">
        <v>-2.7955930000000002</v>
      </c>
      <c r="D63" s="11">
        <v>-88.005405999999994</v>
      </c>
      <c r="E63" s="12">
        <v>183443823000</v>
      </c>
      <c r="F63" s="11">
        <v>3.2645705383060002</v>
      </c>
      <c r="G63">
        <v>62.980562174611897</v>
      </c>
      <c r="H63">
        <v>6.7698152208089901</v>
      </c>
      <c r="I63">
        <v>1.3337881689636888</v>
      </c>
      <c r="J63" s="19">
        <v>14</v>
      </c>
      <c r="K63" s="9">
        <v>0.5714285714285714</v>
      </c>
      <c r="L63">
        <v>2</v>
      </c>
      <c r="M63">
        <v>-4.5475423638379198E-3</v>
      </c>
      <c r="N63">
        <v>0.24104742982677299</v>
      </c>
      <c r="O63">
        <v>-2.2462642415151608</v>
      </c>
      <c r="Q63">
        <v>1</v>
      </c>
    </row>
    <row r="64" spans="1:17" x14ac:dyDescent="0.3">
      <c r="A64" s="10" t="s">
        <v>133</v>
      </c>
      <c r="B64" s="9">
        <v>2014</v>
      </c>
      <c r="C64" s="11">
        <v>4.8656999999999999E-2</v>
      </c>
      <c r="D64" s="11">
        <v>0.58269099999999996</v>
      </c>
      <c r="E64" s="12">
        <v>60652920000</v>
      </c>
      <c r="F64" s="11">
        <v>9.0846920478019992</v>
      </c>
      <c r="G64">
        <v>72.208869746089718</v>
      </c>
      <c r="H64">
        <v>1.8556931617907688</v>
      </c>
      <c r="I64">
        <v>1.8546955356947039</v>
      </c>
      <c r="J64" s="19">
        <v>18</v>
      </c>
      <c r="K64" s="9">
        <v>0.44444444444444442</v>
      </c>
      <c r="L64">
        <v>1</v>
      </c>
      <c r="M64">
        <v>-4.5475423638379198E-3</v>
      </c>
      <c r="N64">
        <v>0.24104742982677299</v>
      </c>
      <c r="O64">
        <v>0.57652278446414507</v>
      </c>
      <c r="Q64">
        <v>0</v>
      </c>
    </row>
    <row r="65" spans="1:17" ht="26.4" x14ac:dyDescent="0.3">
      <c r="A65" s="10" t="s">
        <v>140</v>
      </c>
      <c r="B65" s="9">
        <v>2014</v>
      </c>
      <c r="C65" s="11">
        <v>1.0115099999999999</v>
      </c>
      <c r="D65" s="11">
        <v>21.411459000000001</v>
      </c>
      <c r="E65" s="12">
        <v>42547855000</v>
      </c>
      <c r="F65" s="11">
        <v>4.2619022745089996</v>
      </c>
      <c r="G65">
        <v>15.506370415147838</v>
      </c>
      <c r="H65">
        <v>0.26151823049132206</v>
      </c>
      <c r="I65">
        <v>1.6041983853973367</v>
      </c>
      <c r="J65" s="19">
        <v>15</v>
      </c>
      <c r="K65" s="9">
        <v>0.4</v>
      </c>
      <c r="L65">
        <v>1</v>
      </c>
      <c r="M65">
        <v>-4.5475423638379198E-3</v>
      </c>
      <c r="N65">
        <v>0.24104742982677299</v>
      </c>
      <c r="O65">
        <v>2.2829838920274299</v>
      </c>
      <c r="Q65">
        <v>0</v>
      </c>
    </row>
    <row r="66" spans="1:17" ht="26.4" x14ac:dyDescent="0.3">
      <c r="A66" s="10" t="s">
        <v>142</v>
      </c>
      <c r="B66" s="9">
        <v>2014</v>
      </c>
      <c r="C66" s="11">
        <v>0.45791100000000001</v>
      </c>
      <c r="D66" s="11">
        <v>6.700971</v>
      </c>
      <c r="E66" s="12">
        <v>34794341000</v>
      </c>
      <c r="F66" s="11">
        <v>6.8301451664219996</v>
      </c>
      <c r="G66">
        <v>61.815851031637592</v>
      </c>
      <c r="H66">
        <v>0.54325706335073087</v>
      </c>
      <c r="I66">
        <v>1.7631171522639271</v>
      </c>
      <c r="J66" s="19">
        <v>13</v>
      </c>
      <c r="K66" s="9">
        <v>0.23076923076923075</v>
      </c>
      <c r="L66">
        <v>1</v>
      </c>
      <c r="M66">
        <v>-4.5475423638379198E-3</v>
      </c>
      <c r="N66">
        <v>0.24104742982677299</v>
      </c>
      <c r="O66">
        <v>8.0083490576781191</v>
      </c>
      <c r="Q66">
        <v>0</v>
      </c>
    </row>
    <row r="67" spans="1:17" ht="39.6" x14ac:dyDescent="0.3">
      <c r="A67" s="10" t="s">
        <v>144</v>
      </c>
      <c r="B67" s="9">
        <v>2014</v>
      </c>
      <c r="C67" s="11">
        <v>0.36638199999999999</v>
      </c>
      <c r="D67" s="11">
        <v>5.5664699999999998</v>
      </c>
      <c r="E67" s="12">
        <v>35618847000</v>
      </c>
      <c r="F67" s="11">
        <v>6.9898304119730001</v>
      </c>
      <c r="G67">
        <v>65.764116396019219</v>
      </c>
      <c r="H67">
        <v>1.9811973999783132</v>
      </c>
      <c r="I67">
        <v>1.6349209654701904</v>
      </c>
      <c r="J67" s="21">
        <v>14</v>
      </c>
      <c r="K67" s="9">
        <v>0.35714285714285715</v>
      </c>
      <c r="L67">
        <v>1</v>
      </c>
      <c r="M67">
        <v>-4.5475423638379198E-3</v>
      </c>
      <c r="N67">
        <v>0.24104742982677299</v>
      </c>
      <c r="O67">
        <v>1.5534569455542198</v>
      </c>
      <c r="Q67">
        <v>0</v>
      </c>
    </row>
    <row r="68" spans="1:17" ht="39.6" x14ac:dyDescent="0.3">
      <c r="A68" s="10" t="s">
        <v>148</v>
      </c>
      <c r="B68" s="9">
        <v>2014</v>
      </c>
      <c r="C68" s="11">
        <v>-1.1508799999999999</v>
      </c>
      <c r="D68" s="11">
        <v>-16.370331</v>
      </c>
      <c r="E68" s="12">
        <v>28813556000</v>
      </c>
      <c r="F68" s="11">
        <v>7.0264149277510004</v>
      </c>
      <c r="G68">
        <v>63.118210747746652</v>
      </c>
      <c r="H68">
        <v>3.5661748998617169</v>
      </c>
      <c r="I68">
        <v>1.7187257178897322</v>
      </c>
      <c r="J68" s="21">
        <v>15</v>
      </c>
      <c r="K68" s="9">
        <v>0.53333333333333333</v>
      </c>
      <c r="L68">
        <v>1</v>
      </c>
      <c r="M68">
        <v>-4.5475423638379198E-3</v>
      </c>
      <c r="N68">
        <v>0.24104742982677299</v>
      </c>
      <c r="O68">
        <v>-1.5176243568958598</v>
      </c>
      <c r="Q68">
        <v>0</v>
      </c>
    </row>
    <row r="69" spans="1:17" x14ac:dyDescent="0.3">
      <c r="A69" s="10" t="s">
        <v>151</v>
      </c>
      <c r="B69" s="9">
        <v>2014</v>
      </c>
      <c r="C69" s="11">
        <v>-1.3594390000000001</v>
      </c>
      <c r="D69" s="11">
        <v>-31.608183</v>
      </c>
      <c r="E69" s="12">
        <v>38309560000</v>
      </c>
      <c r="F69" s="11">
        <v>4.7443588493320004</v>
      </c>
      <c r="G69">
        <v>52.163316415014947</v>
      </c>
      <c r="H69">
        <v>3.2302940165196983</v>
      </c>
      <c r="I69">
        <v>1.2405911298219556</v>
      </c>
      <c r="J69" s="21">
        <v>15</v>
      </c>
      <c r="K69" s="9">
        <v>0.66666666666666652</v>
      </c>
      <c r="L69">
        <v>1</v>
      </c>
      <c r="M69">
        <v>-4.5475423638379198E-3</v>
      </c>
      <c r="N69">
        <v>0.24104742982677299</v>
      </c>
      <c r="O69">
        <v>-0.6858923497858046</v>
      </c>
      <c r="Q69">
        <v>0</v>
      </c>
    </row>
    <row r="70" spans="1:17" ht="26.4" x14ac:dyDescent="0.3">
      <c r="A70" s="10" t="s">
        <v>153</v>
      </c>
      <c r="B70" s="9">
        <v>2014</v>
      </c>
      <c r="C70" s="11">
        <v>0.361153</v>
      </c>
      <c r="D70" s="11">
        <v>4.5872260000000002</v>
      </c>
      <c r="E70" s="12">
        <v>12563670000</v>
      </c>
      <c r="F70" s="11">
        <v>7.163941746321</v>
      </c>
      <c r="G70">
        <v>75.364435710266193</v>
      </c>
      <c r="H70">
        <v>1.5894109957196141</v>
      </c>
      <c r="I70">
        <v>1.9288551963642788</v>
      </c>
      <c r="J70" s="21">
        <v>11</v>
      </c>
      <c r="K70" s="9">
        <v>0.36363636363636365</v>
      </c>
      <c r="L70">
        <v>1</v>
      </c>
      <c r="M70">
        <v>-4.5475423638379198E-3</v>
      </c>
      <c r="N70">
        <v>0.24104742982677299</v>
      </c>
      <c r="O70">
        <v>2.0212093668142783</v>
      </c>
      <c r="Q70">
        <v>0</v>
      </c>
    </row>
    <row r="71" spans="1:17" x14ac:dyDescent="0.3">
      <c r="A71" s="10" t="s">
        <v>155</v>
      </c>
      <c r="B71" s="9">
        <v>2014</v>
      </c>
      <c r="C71" s="11">
        <v>2.5254080000000001</v>
      </c>
      <c r="D71" s="11">
        <v>32.006883000000002</v>
      </c>
      <c r="E71" s="12">
        <v>6140237000</v>
      </c>
      <c r="F71" s="11">
        <v>8.7343208413620008</v>
      </c>
      <c r="G71">
        <v>29.232731570458924</v>
      </c>
      <c r="H71">
        <v>0.41950818932354444</v>
      </c>
      <c r="I71">
        <v>5.8151175525910475</v>
      </c>
      <c r="J71" s="21">
        <v>9</v>
      </c>
      <c r="K71" s="9">
        <v>0.55555555555555558</v>
      </c>
      <c r="L71">
        <v>1</v>
      </c>
      <c r="M71">
        <v>-4.5475423638379198E-3</v>
      </c>
      <c r="N71">
        <v>0.24104742982677299</v>
      </c>
      <c r="O71">
        <v>8.26805803708403</v>
      </c>
      <c r="Q71">
        <v>0</v>
      </c>
    </row>
    <row r="72" spans="1:17" x14ac:dyDescent="0.3">
      <c r="A72" s="10" t="s">
        <v>122</v>
      </c>
      <c r="B72" s="9">
        <v>2021</v>
      </c>
      <c r="C72" s="11">
        <v>0.39032311474600001</v>
      </c>
      <c r="D72" s="11">
        <v>6.2015384969360001</v>
      </c>
      <c r="E72" s="12">
        <v>1069003000000</v>
      </c>
      <c r="F72" s="11">
        <v>5.993060823964</v>
      </c>
      <c r="G72">
        <v>45.673398484382176</v>
      </c>
      <c r="H72">
        <v>0.57613927291346645</v>
      </c>
      <c r="I72">
        <v>1.1576207028698704</v>
      </c>
      <c r="J72" s="18">
        <v>19</v>
      </c>
      <c r="K72" s="18">
        <v>0.73684210526315785</v>
      </c>
      <c r="L72" s="20">
        <v>7</v>
      </c>
      <c r="M72" s="20">
        <v>6.5</v>
      </c>
      <c r="N72" s="20">
        <v>1.9</v>
      </c>
      <c r="O72">
        <v>2.0377935018947837</v>
      </c>
      <c r="Q72" s="26">
        <v>5</v>
      </c>
    </row>
    <row r="73" spans="1:17" x14ac:dyDescent="0.3">
      <c r="A73" s="10" t="s">
        <v>126</v>
      </c>
      <c r="B73" s="9">
        <v>2021</v>
      </c>
      <c r="C73" s="11">
        <v>0.169901743765</v>
      </c>
      <c r="D73" s="11">
        <v>2.573032326791</v>
      </c>
      <c r="E73" s="12">
        <v>916671000000</v>
      </c>
      <c r="F73" s="11">
        <v>6.7737497968189997</v>
      </c>
      <c r="G73">
        <v>52.906549896309585</v>
      </c>
      <c r="H73">
        <v>0.44682347070697903</v>
      </c>
      <c r="I73">
        <v>1.0483586737509967</v>
      </c>
      <c r="J73" s="19">
        <v>13</v>
      </c>
      <c r="K73" s="32">
        <v>0.92307692307692302</v>
      </c>
      <c r="L73" s="20">
        <v>7</v>
      </c>
      <c r="M73" s="20">
        <v>6.5</v>
      </c>
      <c r="N73" s="20">
        <v>1.9</v>
      </c>
      <c r="O73">
        <v>0.31968522594198506</v>
      </c>
      <c r="Q73" s="26">
        <v>5</v>
      </c>
    </row>
    <row r="74" spans="1:17" x14ac:dyDescent="0.3">
      <c r="A74" s="10" t="s">
        <v>128</v>
      </c>
      <c r="B74" s="9">
        <v>2021</v>
      </c>
      <c r="C74" s="11">
        <v>0.29610718619499998</v>
      </c>
      <c r="D74" s="11">
        <v>4.492203974543</v>
      </c>
      <c r="E74" s="12">
        <v>200489216000</v>
      </c>
      <c r="F74" s="11">
        <v>6.5320515792730003</v>
      </c>
      <c r="G74">
        <v>61.960040284660501</v>
      </c>
      <c r="H74">
        <v>0.50714923224606379</v>
      </c>
      <c r="I74">
        <v>1.1755230864448094</v>
      </c>
      <c r="J74" s="19">
        <v>15</v>
      </c>
      <c r="K74" s="9">
        <v>0.93333333333333324</v>
      </c>
      <c r="L74" s="20">
        <v>7</v>
      </c>
      <c r="M74" s="20">
        <v>6.5</v>
      </c>
      <c r="N74" s="20">
        <v>1.9</v>
      </c>
      <c r="O74">
        <v>1.5743244477022365</v>
      </c>
      <c r="Q74" s="26">
        <v>5</v>
      </c>
    </row>
    <row r="75" spans="1:17" ht="26.4" x14ac:dyDescent="0.3">
      <c r="A75" s="10" t="s">
        <v>131</v>
      </c>
      <c r="B75" s="9">
        <v>2021</v>
      </c>
      <c r="C75" s="11">
        <v>0.21465399422299999</v>
      </c>
      <c r="D75" s="11">
        <v>5.1784255899409999</v>
      </c>
      <c r="E75" s="12">
        <v>137868562000</v>
      </c>
      <c r="F75" s="11">
        <v>4.4781768304799998</v>
      </c>
      <c r="G75">
        <v>60.246325046895031</v>
      </c>
      <c r="H75">
        <v>0.23647754073759658</v>
      </c>
      <c r="I75">
        <v>1.4125461100933223</v>
      </c>
      <c r="J75" s="19">
        <v>15</v>
      </c>
      <c r="K75" s="9">
        <v>0.73333333333333328</v>
      </c>
      <c r="L75" s="20">
        <v>7</v>
      </c>
      <c r="M75" s="20">
        <v>6.5</v>
      </c>
      <c r="N75" s="20">
        <v>1.9</v>
      </c>
      <c r="O75">
        <v>0.23730915703907682</v>
      </c>
      <c r="Q75" s="26">
        <v>5</v>
      </c>
    </row>
    <row r="76" spans="1:17" x14ac:dyDescent="0.3">
      <c r="A76" s="10" t="s">
        <v>133</v>
      </c>
      <c r="B76" s="9">
        <v>2021</v>
      </c>
      <c r="C76" s="11">
        <v>0.48705504713999997</v>
      </c>
      <c r="D76" s="11">
        <v>8.4710767142170003</v>
      </c>
      <c r="E76" s="12">
        <v>136347873000</v>
      </c>
      <c r="F76" s="11">
        <v>5.0303747679289996</v>
      </c>
      <c r="G76">
        <v>68.797725946190596</v>
      </c>
      <c r="H76">
        <v>0.89249061204442826</v>
      </c>
      <c r="I76">
        <v>1.5376968819409234</v>
      </c>
      <c r="J76" s="19">
        <v>15</v>
      </c>
      <c r="K76" s="19">
        <v>0.73</v>
      </c>
      <c r="L76" s="20">
        <v>6</v>
      </c>
      <c r="M76" s="20">
        <v>6.5</v>
      </c>
      <c r="N76" s="20">
        <v>1.9</v>
      </c>
      <c r="O76">
        <v>2.4571945889668645</v>
      </c>
      <c r="Q76" s="26">
        <v>5</v>
      </c>
    </row>
    <row r="77" spans="1:17" ht="26.4" x14ac:dyDescent="0.3">
      <c r="A77" s="10" t="s">
        <v>140</v>
      </c>
      <c r="B77" s="9">
        <v>2021</v>
      </c>
      <c r="C77" s="11">
        <v>1.0758919391699999</v>
      </c>
      <c r="D77" s="11">
        <v>25.369546724218999</v>
      </c>
      <c r="E77" s="12">
        <v>73522370000</v>
      </c>
      <c r="F77" s="11">
        <v>3.9210039067019999</v>
      </c>
      <c r="G77">
        <v>42.73206236414849</v>
      </c>
      <c r="H77">
        <v>8.618729136909617E-2</v>
      </c>
      <c r="I77">
        <v>1.7495205885631817</v>
      </c>
      <c r="J77" s="9">
        <v>13</v>
      </c>
      <c r="K77" s="9">
        <v>0.76923076923076927</v>
      </c>
      <c r="L77" s="20">
        <v>7</v>
      </c>
      <c r="M77" s="20">
        <v>6.5</v>
      </c>
      <c r="N77" s="20">
        <v>1.9</v>
      </c>
      <c r="O77">
        <v>5.4607170674513528</v>
      </c>
      <c r="Q77" s="26">
        <v>5</v>
      </c>
    </row>
    <row r="78" spans="1:17" ht="26.4" x14ac:dyDescent="0.3">
      <c r="A78" s="10" t="s">
        <v>142</v>
      </c>
      <c r="B78" s="9">
        <v>2021</v>
      </c>
      <c r="C78" s="11">
        <v>0.56764809163700003</v>
      </c>
      <c r="D78" s="11">
        <v>10.694121725543001</v>
      </c>
      <c r="E78" s="12">
        <v>67579187000</v>
      </c>
      <c r="F78" s="11">
        <v>5.1200852712240001</v>
      </c>
      <c r="G78">
        <v>59.468893877045318</v>
      </c>
      <c r="H78">
        <v>7.1470525406523919E-2</v>
      </c>
      <c r="I78">
        <v>1.5468963854933619</v>
      </c>
      <c r="J78" s="31">
        <v>12</v>
      </c>
      <c r="K78" s="30">
        <v>0.33333333333333326</v>
      </c>
      <c r="L78" s="20">
        <v>7</v>
      </c>
      <c r="M78" s="20">
        <v>6.5</v>
      </c>
      <c r="N78" s="20">
        <v>1.9</v>
      </c>
      <c r="O78">
        <v>8.126434304174591</v>
      </c>
      <c r="Q78" s="26">
        <v>4</v>
      </c>
    </row>
    <row r="79" spans="1:17" ht="39.6" x14ac:dyDescent="0.3">
      <c r="A79" s="10" t="s">
        <v>144</v>
      </c>
      <c r="B79" s="9">
        <v>2021</v>
      </c>
      <c r="C79" s="11">
        <v>0.524728433193</v>
      </c>
      <c r="D79" s="11">
        <v>8.5004043580099999</v>
      </c>
      <c r="E79" s="12">
        <v>55016149000</v>
      </c>
      <c r="F79" s="11">
        <v>6.1347023762059996</v>
      </c>
      <c r="G79">
        <v>71.69044856265748</v>
      </c>
      <c r="H79">
        <v>0.35545206342464569</v>
      </c>
      <c r="I79">
        <v>1.0385986910677443</v>
      </c>
      <c r="J79" s="19">
        <v>15</v>
      </c>
      <c r="K79" s="9">
        <v>0.4</v>
      </c>
      <c r="L79" s="20">
        <v>6</v>
      </c>
      <c r="M79" s="20">
        <v>6.5</v>
      </c>
      <c r="N79" s="20">
        <v>1.9</v>
      </c>
      <c r="O79">
        <v>5.4241931620936201</v>
      </c>
      <c r="Q79" s="26">
        <v>5</v>
      </c>
    </row>
    <row r="80" spans="1:17" x14ac:dyDescent="0.3">
      <c r="A80" s="10" t="s">
        <v>151</v>
      </c>
      <c r="B80" s="9">
        <v>2021</v>
      </c>
      <c r="C80" s="11">
        <v>-0.41859216416</v>
      </c>
      <c r="D80" s="11">
        <v>-7.0535040072240003</v>
      </c>
      <c r="E80" s="12">
        <v>22309820000</v>
      </c>
      <c r="F80" s="11">
        <v>5.699131593173</v>
      </c>
      <c r="G80">
        <v>54.686487833608702</v>
      </c>
      <c r="H80">
        <v>0.38919853575976704</v>
      </c>
      <c r="I80">
        <v>1.2218162293906449</v>
      </c>
      <c r="J80" s="9">
        <v>10</v>
      </c>
      <c r="K80" s="9">
        <v>0.8</v>
      </c>
      <c r="L80" s="20">
        <v>5</v>
      </c>
      <c r="M80" s="20">
        <v>6.5</v>
      </c>
      <c r="N80" s="20">
        <v>1.9</v>
      </c>
      <c r="O80">
        <v>-0.8753381504684945</v>
      </c>
      <c r="Q80" s="26">
        <v>4</v>
      </c>
    </row>
    <row r="81" spans="1:17" ht="26.4" x14ac:dyDescent="0.3">
      <c r="A81" s="10" t="s">
        <v>153</v>
      </c>
      <c r="B81" s="9">
        <v>2021</v>
      </c>
      <c r="C81" s="11">
        <v>0.32137870868399998</v>
      </c>
      <c r="D81" s="11">
        <v>5.1616742328990002</v>
      </c>
      <c r="E81" s="12">
        <v>17804781000</v>
      </c>
      <c r="F81" s="11">
        <v>6.1149025084890001</v>
      </c>
      <c r="G81">
        <v>77.984233560637449</v>
      </c>
      <c r="H81">
        <v>0.65769184731466257</v>
      </c>
      <c r="I81">
        <v>1.196706652115519</v>
      </c>
      <c r="J81" s="9">
        <v>12</v>
      </c>
      <c r="K81" s="9">
        <v>0.41666666666666674</v>
      </c>
      <c r="L81" s="20">
        <v>6</v>
      </c>
      <c r="M81" s="20">
        <v>6.5</v>
      </c>
      <c r="N81" s="20">
        <v>1.9</v>
      </c>
      <c r="O81">
        <v>5.5056731071301765</v>
      </c>
      <c r="Q81" s="26">
        <v>5</v>
      </c>
    </row>
    <row r="82" spans="1:17" x14ac:dyDescent="0.3">
      <c r="A82" s="10" t="s">
        <v>155</v>
      </c>
      <c r="B82" s="9">
        <v>2021</v>
      </c>
      <c r="C82" s="11">
        <v>2.2003099978690002</v>
      </c>
      <c r="D82" s="11">
        <v>28.213363231989</v>
      </c>
      <c r="E82" s="12">
        <v>16191600000</v>
      </c>
      <c r="F82" s="11">
        <v>6.8300847352950003</v>
      </c>
      <c r="G82">
        <v>59.509251710763614</v>
      </c>
      <c r="H82">
        <v>2.5945721550516318E-2</v>
      </c>
      <c r="I82">
        <v>4.3287877777366033</v>
      </c>
      <c r="J82" s="9">
        <v>9</v>
      </c>
      <c r="K82" s="9">
        <v>0.55555555555555558</v>
      </c>
      <c r="L82" s="20">
        <v>7</v>
      </c>
      <c r="M82" s="20">
        <v>6.5</v>
      </c>
      <c r="N82" s="20">
        <v>1.9</v>
      </c>
      <c r="O82">
        <v>11.151520175589271</v>
      </c>
      <c r="Q82" s="26">
        <v>5</v>
      </c>
    </row>
    <row r="83" spans="1:17" x14ac:dyDescent="0.3">
      <c r="A83" s="10" t="s">
        <v>122</v>
      </c>
      <c r="B83" s="9">
        <v>2020</v>
      </c>
      <c r="C83" s="11">
        <v>0.361151</v>
      </c>
      <c r="D83" s="11">
        <v>5.3482900000000004</v>
      </c>
      <c r="E83" s="12">
        <v>1002614000000</v>
      </c>
      <c r="F83" s="11">
        <v>6.6148088895630002</v>
      </c>
      <c r="G83">
        <v>48.799637746929527</v>
      </c>
      <c r="H83">
        <v>0.89030232672215048</v>
      </c>
      <c r="I83">
        <v>1.3208472961428823</v>
      </c>
      <c r="J83" s="18">
        <v>19</v>
      </c>
      <c r="K83" s="9">
        <v>0.73684210526315785</v>
      </c>
      <c r="L83" s="9">
        <v>7</v>
      </c>
      <c r="M83">
        <v>-8.9385925002344351</v>
      </c>
      <c r="N83">
        <v>-0.13770757391656999</v>
      </c>
      <c r="O83">
        <v>1.9588585014219311</v>
      </c>
      <c r="P83">
        <v>1.5621279462628399</v>
      </c>
      <c r="Q83">
        <v>5</v>
      </c>
    </row>
    <row r="84" spans="1:17" x14ac:dyDescent="0.3">
      <c r="A84" s="10" t="s">
        <v>126</v>
      </c>
      <c r="B84" s="9">
        <v>2020</v>
      </c>
      <c r="C84" s="11">
        <v>-0.310894</v>
      </c>
      <c r="D84" s="11">
        <v>-4.5643120000000001</v>
      </c>
      <c r="E84" s="12">
        <v>931456000000</v>
      </c>
      <c r="F84" s="11">
        <v>6.4353012917410002</v>
      </c>
      <c r="G84">
        <v>50.592191150199262</v>
      </c>
      <c r="H84">
        <v>0.98462792099209762</v>
      </c>
      <c r="I84">
        <v>0.91330132657259178</v>
      </c>
      <c r="J84" s="19">
        <v>15</v>
      </c>
      <c r="K84" s="9">
        <v>0.93333333333333324</v>
      </c>
      <c r="L84" s="9">
        <v>7</v>
      </c>
      <c r="M84">
        <v>-8.9385925002344351</v>
      </c>
      <c r="N84">
        <v>-0.13770757391656999</v>
      </c>
      <c r="O84">
        <v>-0.33021473629160769</v>
      </c>
      <c r="P84">
        <v>1.8391581106964301</v>
      </c>
      <c r="Q84">
        <v>5</v>
      </c>
    </row>
    <row r="85" spans="1:17" x14ac:dyDescent="0.3">
      <c r="A85" s="10" t="s">
        <v>128</v>
      </c>
      <c r="B85" s="9">
        <v>2020</v>
      </c>
      <c r="C85" s="11">
        <v>9.4839999999999994E-3</v>
      </c>
      <c r="D85" s="11">
        <v>0.13794400000000001</v>
      </c>
      <c r="E85" s="12">
        <v>183685182000</v>
      </c>
      <c r="F85" s="11">
        <v>6.6565527316189996</v>
      </c>
      <c r="G85">
        <v>68.90151269795949</v>
      </c>
      <c r="H85">
        <v>0.82901035540175216</v>
      </c>
      <c r="I85">
        <v>1.1317200263756062</v>
      </c>
      <c r="J85" s="19">
        <v>15</v>
      </c>
      <c r="K85" s="9">
        <v>0.93333333333333324</v>
      </c>
      <c r="L85" s="9">
        <v>6</v>
      </c>
      <c r="M85">
        <v>-8.9385925002344351</v>
      </c>
      <c r="N85">
        <v>-0.13770757391656999</v>
      </c>
      <c r="O85">
        <v>0.29141852611003211</v>
      </c>
      <c r="P85">
        <v>1.6602055041294901</v>
      </c>
      <c r="Q85">
        <v>4</v>
      </c>
    </row>
    <row r="86" spans="1:17" ht="26.4" x14ac:dyDescent="0.3">
      <c r="A86" s="10" t="s">
        <v>131</v>
      </c>
      <c r="B86" s="9">
        <v>2020</v>
      </c>
      <c r="C86" s="11">
        <v>-1.1956119999999999</v>
      </c>
      <c r="D86" s="11">
        <v>-24.018894</v>
      </c>
      <c r="E86" s="12">
        <v>150356103000</v>
      </c>
      <c r="F86" s="11">
        <v>3.8468548230459998</v>
      </c>
      <c r="G86">
        <v>55.553276078191516</v>
      </c>
      <c r="H86">
        <v>0.89710914126122487</v>
      </c>
      <c r="I86">
        <v>1.2381984995444648</v>
      </c>
      <c r="J86" s="19">
        <v>15</v>
      </c>
      <c r="K86" s="9">
        <v>0.73333333333333328</v>
      </c>
      <c r="L86" s="9">
        <v>7</v>
      </c>
      <c r="M86">
        <v>-8.9385925002344351</v>
      </c>
      <c r="N86">
        <v>-0.13770757391656999</v>
      </c>
      <c r="O86">
        <v>-1.0570459607025813</v>
      </c>
      <c r="P86">
        <v>1.38047812036586</v>
      </c>
      <c r="Q86">
        <v>5</v>
      </c>
    </row>
    <row r="87" spans="1:17" x14ac:dyDescent="0.3">
      <c r="A87" s="10" t="s">
        <v>133</v>
      </c>
      <c r="B87" s="9">
        <v>2020</v>
      </c>
      <c r="C87" s="11">
        <v>0.31457499999999999</v>
      </c>
      <c r="D87" s="11">
        <v>4.657718</v>
      </c>
      <c r="E87" s="12">
        <v>93050838000</v>
      </c>
      <c r="F87" s="11">
        <v>6.8035432415989998</v>
      </c>
      <c r="G87">
        <v>70.450547688780617</v>
      </c>
      <c r="H87">
        <v>0.8266012455986268</v>
      </c>
      <c r="I87">
        <v>1.6118103011829081</v>
      </c>
      <c r="J87" s="19">
        <v>15</v>
      </c>
      <c r="K87" s="9">
        <v>0.6</v>
      </c>
      <c r="L87" s="9">
        <v>5</v>
      </c>
      <c r="M87">
        <v>-8.9385925002344351</v>
      </c>
      <c r="N87">
        <v>-0.13770757391656999</v>
      </c>
      <c r="O87">
        <v>1.8087637006621868</v>
      </c>
      <c r="P87">
        <v>1.68889086760456</v>
      </c>
      <c r="Q87">
        <v>4</v>
      </c>
    </row>
    <row r="88" spans="1:17" ht="26.4" x14ac:dyDescent="0.3">
      <c r="A88" s="10" t="s">
        <v>140</v>
      </c>
      <c r="B88" s="9">
        <v>2020</v>
      </c>
      <c r="C88" s="11">
        <v>0.77260600000000001</v>
      </c>
      <c r="D88" s="11">
        <v>17.099269</v>
      </c>
      <c r="E88" s="12">
        <v>59029046000</v>
      </c>
      <c r="F88" s="11">
        <v>4.6392940180669999</v>
      </c>
      <c r="G88">
        <v>47.610982904924462</v>
      </c>
      <c r="H88">
        <v>8.1023162675872951E-2</v>
      </c>
      <c r="I88">
        <v>1.576606869201105</v>
      </c>
      <c r="J88" s="19">
        <v>13</v>
      </c>
      <c r="K88" s="9">
        <v>0.53846153846153844</v>
      </c>
      <c r="L88" s="9">
        <v>6</v>
      </c>
      <c r="M88">
        <v>-8.9385925002344351</v>
      </c>
      <c r="N88">
        <v>-0.13770757391656999</v>
      </c>
      <c r="O88">
        <v>4.2432194712262774</v>
      </c>
      <c r="Q88">
        <v>5</v>
      </c>
    </row>
    <row r="89" spans="1:17" ht="26.4" x14ac:dyDescent="0.3">
      <c r="A89" s="10" t="s">
        <v>142</v>
      </c>
      <c r="B89" s="9">
        <v>2020</v>
      </c>
      <c r="C89" s="11">
        <v>0.38689800000000002</v>
      </c>
      <c r="D89" s="11">
        <v>6.7043749999999998</v>
      </c>
      <c r="E89" s="12">
        <v>56650245000</v>
      </c>
      <c r="F89" s="11">
        <v>5.5322514492210004</v>
      </c>
      <c r="G89">
        <v>60.658350197779377</v>
      </c>
      <c r="H89">
        <v>0.30248722583384785</v>
      </c>
      <c r="I89">
        <v>1.3847389470173166</v>
      </c>
      <c r="J89" s="19">
        <v>12</v>
      </c>
      <c r="K89" s="9">
        <v>0.33333333333333326</v>
      </c>
      <c r="L89" s="9">
        <v>5</v>
      </c>
      <c r="M89">
        <v>-8.9385925002344351</v>
      </c>
      <c r="N89">
        <v>-0.13770757391656999</v>
      </c>
      <c r="O89">
        <v>9.3464919117281333</v>
      </c>
      <c r="P89">
        <v>1.0797166317521101</v>
      </c>
      <c r="Q89">
        <v>3</v>
      </c>
    </row>
    <row r="90" spans="1:17" ht="39.6" x14ac:dyDescent="0.3">
      <c r="A90" s="10" t="s">
        <v>144</v>
      </c>
      <c r="B90" s="9">
        <v>2020</v>
      </c>
      <c r="C90" s="11">
        <v>0.241316</v>
      </c>
      <c r="D90" s="11">
        <v>3.6383960000000002</v>
      </c>
      <c r="E90" s="12">
        <v>49807597000</v>
      </c>
      <c r="F90" s="11">
        <v>6.2152647115260002</v>
      </c>
      <c r="G90">
        <v>71.932341967832741</v>
      </c>
      <c r="H90">
        <v>0.39464079414820424</v>
      </c>
      <c r="I90">
        <v>0.80566624606330639</v>
      </c>
      <c r="J90" s="19">
        <v>15</v>
      </c>
      <c r="K90" s="9">
        <v>0.4</v>
      </c>
      <c r="L90" s="9">
        <v>5</v>
      </c>
      <c r="M90">
        <v>-8.9385925002344351</v>
      </c>
      <c r="N90">
        <v>-0.13770757391656999</v>
      </c>
      <c r="O90">
        <v>4.3090181529764884</v>
      </c>
      <c r="P90">
        <v>1.4379753937267501</v>
      </c>
      <c r="Q90">
        <v>4</v>
      </c>
    </row>
    <row r="91" spans="1:17" ht="39.6" x14ac:dyDescent="0.3">
      <c r="A91" s="10" t="s">
        <v>148</v>
      </c>
      <c r="B91" s="9">
        <v>2020</v>
      </c>
      <c r="C91" s="11">
        <v>0.46946900000000003</v>
      </c>
      <c r="D91" s="11">
        <v>6.598776</v>
      </c>
      <c r="E91" s="12">
        <v>23881672000</v>
      </c>
      <c r="F91" s="11">
        <v>7.4301120960039997</v>
      </c>
      <c r="G91">
        <v>80.527364248198367</v>
      </c>
      <c r="H91">
        <v>0.58714757482873858</v>
      </c>
      <c r="I91">
        <v>1.2974384680117874</v>
      </c>
      <c r="J91" s="21">
        <v>15</v>
      </c>
      <c r="K91" s="9">
        <v>0.8666666666666667</v>
      </c>
      <c r="L91" s="9">
        <v>5</v>
      </c>
      <c r="M91">
        <v>-8.9385925002344351</v>
      </c>
      <c r="N91">
        <v>-0.13770757391656999</v>
      </c>
      <c r="O91">
        <v>0.65245958152218508</v>
      </c>
      <c r="Q91">
        <v>4</v>
      </c>
    </row>
    <row r="92" spans="1:17" x14ac:dyDescent="0.3">
      <c r="A92" s="10" t="s">
        <v>151</v>
      </c>
      <c r="B92" s="9">
        <v>2020</v>
      </c>
      <c r="C92" s="11">
        <v>-1.2319560000000001</v>
      </c>
      <c r="D92" s="11">
        <v>-18.623659</v>
      </c>
      <c r="E92" s="12">
        <v>22030236000</v>
      </c>
      <c r="F92" s="11">
        <v>6.1729116292719999</v>
      </c>
      <c r="G92">
        <v>54.396634697876131</v>
      </c>
      <c r="H92">
        <v>0.76638222212876195</v>
      </c>
      <c r="I92">
        <v>1.4244059798854629</v>
      </c>
      <c r="J92" s="19">
        <v>10</v>
      </c>
      <c r="K92" s="9">
        <v>0.9</v>
      </c>
      <c r="L92" s="9">
        <v>4</v>
      </c>
      <c r="M92">
        <v>-8.9385925002344351</v>
      </c>
      <c r="N92">
        <v>-0.13770757391656999</v>
      </c>
      <c r="O92">
        <v>-2.728566193774141</v>
      </c>
      <c r="Q92">
        <v>3</v>
      </c>
    </row>
    <row r="93" spans="1:17" ht="26.4" x14ac:dyDescent="0.3">
      <c r="A93" s="10" t="s">
        <v>153</v>
      </c>
      <c r="B93" s="9">
        <v>2020</v>
      </c>
      <c r="C93" s="11">
        <v>0.158697</v>
      </c>
      <c r="D93" s="11">
        <v>2.417116</v>
      </c>
      <c r="E93" s="12">
        <v>15663522000</v>
      </c>
      <c r="F93" s="11">
        <v>6.3528177123890002</v>
      </c>
      <c r="G93">
        <v>82.782058849855105</v>
      </c>
      <c r="H93">
        <v>0.55313711720263148</v>
      </c>
      <c r="I93">
        <v>1.3411223954369904</v>
      </c>
      <c r="J93" s="21">
        <v>12</v>
      </c>
      <c r="K93" s="9">
        <v>0.41666666666666674</v>
      </c>
      <c r="L93" s="9">
        <v>5</v>
      </c>
      <c r="M93">
        <v>-8.9385925002344351</v>
      </c>
      <c r="N93">
        <v>-0.13770757391656999</v>
      </c>
      <c r="O93">
        <v>3.3271977103077681</v>
      </c>
      <c r="Q93">
        <v>4</v>
      </c>
    </row>
    <row r="94" spans="1:17" x14ac:dyDescent="0.3">
      <c r="A94" s="10" t="s">
        <v>155</v>
      </c>
      <c r="B94" s="9">
        <v>2020</v>
      </c>
      <c r="C94" s="11">
        <v>2.2042160000000002</v>
      </c>
      <c r="D94" s="11">
        <v>26.153331000000001</v>
      </c>
      <c r="E94" s="12">
        <v>13176989000</v>
      </c>
      <c r="F94" s="11">
        <v>8.9891856174430007</v>
      </c>
      <c r="G94">
        <v>62.684403849771755</v>
      </c>
      <c r="H94">
        <v>9.4310875036637785E-3</v>
      </c>
      <c r="I94">
        <v>4.7253663383425453</v>
      </c>
      <c r="J94" s="21">
        <v>9</v>
      </c>
      <c r="K94" s="9">
        <v>0.55555555555555558</v>
      </c>
      <c r="L94" s="9">
        <v>7</v>
      </c>
      <c r="M94">
        <v>-8.9385925002344351</v>
      </c>
      <c r="N94">
        <v>-0.13770757391656999</v>
      </c>
      <c r="O94">
        <v>4.6961192065427175</v>
      </c>
      <c r="Q94">
        <v>5</v>
      </c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48939-27A9-429D-964E-B88BD9B50915}">
  <dimension ref="A1:AK141"/>
  <sheetViews>
    <sheetView tabSelected="1" zoomScale="85" zoomScaleNormal="85" workbookViewId="0">
      <selection activeCell="AG14" sqref="A1:AG14"/>
    </sheetView>
  </sheetViews>
  <sheetFormatPr defaultRowHeight="14.4" x14ac:dyDescent="0.3"/>
  <cols>
    <col min="1" max="1" width="19.44140625" customWidth="1"/>
    <col min="2" max="2" width="6.6640625" customWidth="1"/>
    <col min="3" max="3" width="20.33203125" customWidth="1"/>
    <col min="4" max="4" width="15.33203125" customWidth="1"/>
    <col min="5" max="5" width="13.33203125" customWidth="1"/>
    <col min="6" max="6" width="15.6640625" customWidth="1"/>
    <col min="7" max="7" width="21.77734375" customWidth="1"/>
    <col min="8" max="8" width="14" customWidth="1"/>
    <col min="9" max="9" width="13.33203125" customWidth="1"/>
    <col min="11" max="11" width="17.5546875" customWidth="1"/>
    <col min="12" max="13" width="15.77734375" customWidth="1"/>
  </cols>
  <sheetData>
    <row r="1" spans="1:37" ht="15" x14ac:dyDescent="0.35">
      <c r="A1" s="22" t="s">
        <v>173</v>
      </c>
      <c r="B1" s="22" t="s">
        <v>174</v>
      </c>
      <c r="C1" s="22" t="s">
        <v>175</v>
      </c>
      <c r="D1" s="22" t="s">
        <v>176</v>
      </c>
      <c r="E1" s="22" t="s">
        <v>179</v>
      </c>
      <c r="F1" s="22" t="s">
        <v>178</v>
      </c>
      <c r="G1" s="22" t="s">
        <v>202</v>
      </c>
      <c r="H1" s="22" t="s">
        <v>201</v>
      </c>
      <c r="I1" s="23" t="s">
        <v>205</v>
      </c>
      <c r="J1" s="28" t="s">
        <v>206</v>
      </c>
      <c r="K1" s="22" t="s">
        <v>200</v>
      </c>
      <c r="L1" s="22" t="s">
        <v>177</v>
      </c>
      <c r="M1" s="22"/>
      <c r="N1" s="22" t="s">
        <v>170</v>
      </c>
      <c r="O1" s="22" t="s">
        <v>203</v>
      </c>
      <c r="P1" s="22" t="s">
        <v>204</v>
      </c>
    </row>
    <row r="2" spans="1:37" x14ac:dyDescent="0.3">
      <c r="A2" t="s">
        <v>180</v>
      </c>
      <c r="B2">
        <v>2020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f t="shared" ref="J2:J65" si="0">SUM($C2:$I2)</f>
        <v>7</v>
      </c>
      <c r="K2">
        <v>0</v>
      </c>
      <c r="L2">
        <v>1</v>
      </c>
      <c r="N2">
        <v>2020</v>
      </c>
      <c r="O2">
        <v>364</v>
      </c>
      <c r="P2">
        <f>($O2-$O3)/$O3*100</f>
        <v>21.739130434782609</v>
      </c>
    </row>
    <row r="3" spans="1:37" x14ac:dyDescent="0.3">
      <c r="A3" t="s">
        <v>180</v>
      </c>
      <c r="B3">
        <v>2019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f t="shared" si="0"/>
        <v>7</v>
      </c>
      <c r="K3">
        <v>0</v>
      </c>
      <c r="L3">
        <v>1</v>
      </c>
      <c r="N3">
        <v>2019</v>
      </c>
      <c r="O3">
        <v>299</v>
      </c>
      <c r="P3">
        <f t="shared" ref="P3:P4" si="1">($O3-$O4)/$O4*100</f>
        <v>11.985018726591761</v>
      </c>
    </row>
    <row r="4" spans="1:37" x14ac:dyDescent="0.3">
      <c r="A4" t="s">
        <v>180</v>
      </c>
      <c r="B4">
        <v>2018</v>
      </c>
      <c r="C4">
        <v>1</v>
      </c>
      <c r="D4">
        <v>1</v>
      </c>
      <c r="E4">
        <v>1</v>
      </c>
      <c r="F4">
        <v>0</v>
      </c>
      <c r="G4">
        <v>1</v>
      </c>
      <c r="H4">
        <v>1</v>
      </c>
      <c r="I4">
        <v>1</v>
      </c>
      <c r="J4">
        <f t="shared" si="0"/>
        <v>6</v>
      </c>
      <c r="K4">
        <v>0</v>
      </c>
      <c r="L4">
        <v>0</v>
      </c>
      <c r="N4">
        <v>2018</v>
      </c>
      <c r="O4">
        <f>(299+235)/2</f>
        <v>267</v>
      </c>
      <c r="P4">
        <f t="shared" si="1"/>
        <v>13.617021276595745</v>
      </c>
    </row>
    <row r="5" spans="1:37" x14ac:dyDescent="0.3">
      <c r="A5" t="s">
        <v>180</v>
      </c>
      <c r="B5">
        <v>2017</v>
      </c>
      <c r="C5">
        <v>1</v>
      </c>
      <c r="D5">
        <v>1</v>
      </c>
      <c r="E5">
        <v>1</v>
      </c>
      <c r="F5">
        <v>0</v>
      </c>
      <c r="G5">
        <v>1</v>
      </c>
      <c r="H5">
        <v>0</v>
      </c>
      <c r="I5">
        <v>1</v>
      </c>
      <c r="J5">
        <f t="shared" si="0"/>
        <v>5</v>
      </c>
      <c r="K5">
        <v>0</v>
      </c>
      <c r="L5">
        <v>0</v>
      </c>
      <c r="N5">
        <v>2017</v>
      </c>
      <c r="O5">
        <v>235</v>
      </c>
      <c r="R5" t="s">
        <v>209</v>
      </c>
    </row>
    <row r="6" spans="1:37" x14ac:dyDescent="0.3">
      <c r="A6" t="s">
        <v>180</v>
      </c>
      <c r="B6">
        <v>2016</v>
      </c>
      <c r="C6">
        <v>1</v>
      </c>
      <c r="D6">
        <v>1</v>
      </c>
      <c r="E6">
        <v>1</v>
      </c>
      <c r="F6">
        <v>0</v>
      </c>
      <c r="G6">
        <v>1</v>
      </c>
      <c r="H6">
        <v>0</v>
      </c>
      <c r="I6">
        <v>1</v>
      </c>
      <c r="J6">
        <f t="shared" si="0"/>
        <v>5</v>
      </c>
      <c r="K6">
        <v>0</v>
      </c>
      <c r="L6">
        <v>0</v>
      </c>
    </row>
    <row r="7" spans="1:37" x14ac:dyDescent="0.3">
      <c r="A7" t="s">
        <v>180</v>
      </c>
      <c r="B7">
        <v>2015</v>
      </c>
      <c r="C7">
        <v>1</v>
      </c>
      <c r="D7">
        <v>1</v>
      </c>
      <c r="E7">
        <v>0</v>
      </c>
      <c r="F7">
        <v>0</v>
      </c>
      <c r="G7">
        <v>1</v>
      </c>
      <c r="H7">
        <v>0</v>
      </c>
      <c r="I7">
        <v>0</v>
      </c>
      <c r="J7">
        <f t="shared" si="0"/>
        <v>3</v>
      </c>
      <c r="K7">
        <v>0</v>
      </c>
      <c r="L7">
        <v>0</v>
      </c>
    </row>
    <row r="8" spans="1:37" x14ac:dyDescent="0.3">
      <c r="A8" t="s">
        <v>180</v>
      </c>
      <c r="B8">
        <v>2014</v>
      </c>
      <c r="C8">
        <v>1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f t="shared" si="0"/>
        <v>2</v>
      </c>
      <c r="K8">
        <v>0</v>
      </c>
      <c r="L8">
        <v>0</v>
      </c>
      <c r="AI8" s="9"/>
      <c r="AJ8" s="9"/>
      <c r="AK8" s="9"/>
    </row>
    <row r="9" spans="1:37" x14ac:dyDescent="0.3">
      <c r="A9" t="s">
        <v>181</v>
      </c>
      <c r="B9">
        <v>2020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f t="shared" si="0"/>
        <v>7</v>
      </c>
      <c r="K9">
        <v>0</v>
      </c>
      <c r="L9">
        <v>0</v>
      </c>
      <c r="AI9" s="9"/>
      <c r="AJ9" s="9"/>
      <c r="AK9" s="9"/>
    </row>
    <row r="10" spans="1:37" x14ac:dyDescent="0.3">
      <c r="A10" t="s">
        <v>181</v>
      </c>
      <c r="B10">
        <v>2019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f t="shared" si="0"/>
        <v>7</v>
      </c>
      <c r="K10">
        <v>0</v>
      </c>
      <c r="L10">
        <v>0</v>
      </c>
      <c r="AI10" s="9"/>
      <c r="AJ10" s="9"/>
      <c r="AK10" s="9"/>
    </row>
    <row r="11" spans="1:37" x14ac:dyDescent="0.3">
      <c r="A11" t="s">
        <v>181</v>
      </c>
      <c r="B11">
        <v>2018</v>
      </c>
      <c r="C11">
        <v>1</v>
      </c>
      <c r="D11">
        <v>1</v>
      </c>
      <c r="E11">
        <v>1</v>
      </c>
      <c r="F11">
        <v>1</v>
      </c>
      <c r="G11">
        <v>1</v>
      </c>
      <c r="H11">
        <v>0</v>
      </c>
      <c r="I11">
        <v>1</v>
      </c>
      <c r="J11">
        <f t="shared" si="0"/>
        <v>6</v>
      </c>
      <c r="K11">
        <v>0</v>
      </c>
      <c r="L11">
        <v>0</v>
      </c>
      <c r="AI11" s="9"/>
      <c r="AJ11" s="9"/>
      <c r="AK11" s="9"/>
    </row>
    <row r="12" spans="1:37" x14ac:dyDescent="0.3">
      <c r="A12" t="s">
        <v>181</v>
      </c>
      <c r="B12">
        <v>2017</v>
      </c>
      <c r="C12">
        <v>1</v>
      </c>
      <c r="D12">
        <v>1</v>
      </c>
      <c r="E12">
        <v>1</v>
      </c>
      <c r="F12">
        <v>1</v>
      </c>
      <c r="G12">
        <v>0</v>
      </c>
      <c r="H12">
        <v>0</v>
      </c>
      <c r="I12">
        <v>1</v>
      </c>
      <c r="J12">
        <f t="shared" si="0"/>
        <v>5</v>
      </c>
      <c r="K12">
        <v>0</v>
      </c>
      <c r="L12">
        <v>0</v>
      </c>
      <c r="AI12" s="9"/>
      <c r="AJ12" s="9"/>
      <c r="AK12" s="9"/>
    </row>
    <row r="13" spans="1:37" x14ac:dyDescent="0.3">
      <c r="A13" t="s">
        <v>181</v>
      </c>
      <c r="B13">
        <v>2016</v>
      </c>
      <c r="C13">
        <v>1</v>
      </c>
      <c r="D13">
        <v>1</v>
      </c>
      <c r="E13">
        <v>1</v>
      </c>
      <c r="F13">
        <v>1</v>
      </c>
      <c r="G13">
        <v>0</v>
      </c>
      <c r="H13">
        <v>0</v>
      </c>
      <c r="I13">
        <v>1</v>
      </c>
      <c r="J13">
        <f t="shared" si="0"/>
        <v>5</v>
      </c>
      <c r="K13">
        <v>0</v>
      </c>
      <c r="L13">
        <v>0</v>
      </c>
      <c r="AI13" s="9"/>
      <c r="AJ13" s="9"/>
      <c r="AK13" s="9"/>
    </row>
    <row r="14" spans="1:37" x14ac:dyDescent="0.3">
      <c r="A14" t="s">
        <v>181</v>
      </c>
      <c r="B14">
        <v>2015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f t="shared" si="0"/>
        <v>1</v>
      </c>
      <c r="K14">
        <v>0</v>
      </c>
      <c r="L14">
        <v>0</v>
      </c>
      <c r="AI14" s="9"/>
      <c r="AJ14" s="9"/>
      <c r="AK14" s="9"/>
    </row>
    <row r="15" spans="1:37" x14ac:dyDescent="0.3">
      <c r="A15" t="s">
        <v>181</v>
      </c>
      <c r="B15">
        <v>2014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f t="shared" si="0"/>
        <v>1</v>
      </c>
      <c r="K15">
        <v>0</v>
      </c>
      <c r="L15">
        <v>0</v>
      </c>
      <c r="AI15" s="9"/>
      <c r="AJ15" s="9"/>
      <c r="AK15" s="9"/>
    </row>
    <row r="16" spans="1:37" x14ac:dyDescent="0.3">
      <c r="A16" t="s">
        <v>182</v>
      </c>
      <c r="B16">
        <v>2020</v>
      </c>
      <c r="C16">
        <v>1</v>
      </c>
      <c r="D16">
        <v>1</v>
      </c>
      <c r="E16">
        <v>1</v>
      </c>
      <c r="F16">
        <v>0</v>
      </c>
      <c r="G16">
        <v>1</v>
      </c>
      <c r="H16">
        <v>1</v>
      </c>
      <c r="I16">
        <v>1</v>
      </c>
      <c r="J16">
        <f t="shared" si="0"/>
        <v>6</v>
      </c>
      <c r="K16">
        <v>1</v>
      </c>
      <c r="L16">
        <v>1</v>
      </c>
      <c r="AI16" s="9"/>
      <c r="AJ16" s="9"/>
      <c r="AK16" s="9"/>
    </row>
    <row r="17" spans="1:37" x14ac:dyDescent="0.3">
      <c r="A17" t="s">
        <v>182</v>
      </c>
      <c r="B17">
        <v>2019</v>
      </c>
      <c r="C17">
        <v>1</v>
      </c>
      <c r="D17">
        <v>1</v>
      </c>
      <c r="E17">
        <v>1</v>
      </c>
      <c r="F17">
        <v>0</v>
      </c>
      <c r="G17">
        <v>1</v>
      </c>
      <c r="H17">
        <v>1</v>
      </c>
      <c r="I17">
        <v>1</v>
      </c>
      <c r="J17">
        <f t="shared" si="0"/>
        <v>6</v>
      </c>
      <c r="K17">
        <v>1</v>
      </c>
      <c r="L17">
        <v>0</v>
      </c>
      <c r="AI17" s="9"/>
      <c r="AJ17" s="9"/>
      <c r="AK17" s="9"/>
    </row>
    <row r="18" spans="1:37" x14ac:dyDescent="0.3">
      <c r="A18" t="s">
        <v>182</v>
      </c>
      <c r="B18">
        <v>2018</v>
      </c>
      <c r="C18">
        <v>1</v>
      </c>
      <c r="D18">
        <v>0</v>
      </c>
      <c r="E18">
        <v>1</v>
      </c>
      <c r="F18">
        <v>0</v>
      </c>
      <c r="G18">
        <v>0</v>
      </c>
      <c r="H18">
        <v>1</v>
      </c>
      <c r="I18">
        <v>1</v>
      </c>
      <c r="J18">
        <f t="shared" si="0"/>
        <v>4</v>
      </c>
      <c r="K18">
        <v>1</v>
      </c>
      <c r="L18">
        <v>0</v>
      </c>
      <c r="AI18" s="9"/>
      <c r="AJ18" s="9"/>
      <c r="AK18" s="9"/>
    </row>
    <row r="19" spans="1:37" x14ac:dyDescent="0.3">
      <c r="A19" t="s">
        <v>182</v>
      </c>
      <c r="B19">
        <v>2017</v>
      </c>
      <c r="C19">
        <v>1</v>
      </c>
      <c r="D19">
        <v>1</v>
      </c>
      <c r="E19">
        <v>1</v>
      </c>
      <c r="F19">
        <v>0</v>
      </c>
      <c r="G19">
        <v>0</v>
      </c>
      <c r="H19">
        <v>0</v>
      </c>
      <c r="I19">
        <v>1</v>
      </c>
      <c r="J19">
        <f t="shared" si="0"/>
        <v>4</v>
      </c>
      <c r="K19">
        <v>1</v>
      </c>
      <c r="L19">
        <v>0</v>
      </c>
      <c r="AI19" s="9"/>
      <c r="AJ19" s="9"/>
      <c r="AK19" s="9"/>
    </row>
    <row r="20" spans="1:37" x14ac:dyDescent="0.3">
      <c r="A20" s="26" t="s">
        <v>182</v>
      </c>
      <c r="B20">
        <v>2016</v>
      </c>
      <c r="J20">
        <f t="shared" si="0"/>
        <v>0</v>
      </c>
      <c r="AI20" s="9"/>
      <c r="AJ20" s="9"/>
      <c r="AK20" s="9"/>
    </row>
    <row r="21" spans="1:37" x14ac:dyDescent="0.3">
      <c r="A21" s="24" t="s">
        <v>182</v>
      </c>
      <c r="B21">
        <v>2015</v>
      </c>
      <c r="J21">
        <f t="shared" si="0"/>
        <v>0</v>
      </c>
      <c r="AI21" s="9"/>
      <c r="AJ21" s="9"/>
      <c r="AK21" s="9"/>
    </row>
    <row r="22" spans="1:37" x14ac:dyDescent="0.3">
      <c r="A22" s="24" t="s">
        <v>182</v>
      </c>
      <c r="B22">
        <v>2014</v>
      </c>
      <c r="J22">
        <f t="shared" si="0"/>
        <v>0</v>
      </c>
      <c r="AI22" s="9"/>
      <c r="AJ22" s="9"/>
      <c r="AK22" s="9"/>
    </row>
    <row r="23" spans="1:37" x14ac:dyDescent="0.3">
      <c r="A23" t="s">
        <v>183</v>
      </c>
      <c r="B23">
        <v>2020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f t="shared" si="0"/>
        <v>7</v>
      </c>
      <c r="K23">
        <v>1</v>
      </c>
      <c r="L23">
        <v>0</v>
      </c>
      <c r="AI23" s="9"/>
      <c r="AJ23" s="9"/>
      <c r="AK23" s="9"/>
    </row>
    <row r="24" spans="1:37" x14ac:dyDescent="0.3">
      <c r="A24" t="s">
        <v>183</v>
      </c>
      <c r="B24">
        <v>2019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f t="shared" si="0"/>
        <v>7</v>
      </c>
      <c r="K24">
        <v>1</v>
      </c>
      <c r="L24">
        <v>0</v>
      </c>
      <c r="AI24" s="9"/>
      <c r="AJ24" s="9"/>
      <c r="AK24" s="9"/>
    </row>
    <row r="25" spans="1:37" x14ac:dyDescent="0.3">
      <c r="A25" t="s">
        <v>183</v>
      </c>
      <c r="B25">
        <v>2018</v>
      </c>
      <c r="C25">
        <v>1</v>
      </c>
      <c r="D25">
        <v>1</v>
      </c>
      <c r="E25">
        <v>1</v>
      </c>
      <c r="F25">
        <v>1</v>
      </c>
      <c r="G25">
        <v>1</v>
      </c>
      <c r="H25">
        <v>0</v>
      </c>
      <c r="I25">
        <v>1</v>
      </c>
      <c r="J25">
        <f t="shared" si="0"/>
        <v>6</v>
      </c>
      <c r="K25">
        <v>0</v>
      </c>
      <c r="L25">
        <v>0</v>
      </c>
      <c r="AI25" s="9"/>
      <c r="AJ25" s="9"/>
      <c r="AK25" s="9"/>
    </row>
    <row r="26" spans="1:37" x14ac:dyDescent="0.3">
      <c r="A26" t="s">
        <v>183</v>
      </c>
      <c r="B26">
        <v>2017</v>
      </c>
      <c r="C26">
        <v>1</v>
      </c>
      <c r="D26">
        <v>1</v>
      </c>
      <c r="E26">
        <v>1</v>
      </c>
      <c r="F26">
        <v>1</v>
      </c>
      <c r="G26">
        <v>1</v>
      </c>
      <c r="H26">
        <v>0</v>
      </c>
      <c r="I26">
        <v>0</v>
      </c>
      <c r="J26">
        <f t="shared" si="0"/>
        <v>5</v>
      </c>
      <c r="K26">
        <v>0</v>
      </c>
      <c r="L26">
        <v>0</v>
      </c>
      <c r="AI26" s="9"/>
      <c r="AJ26" s="9"/>
      <c r="AK26" s="9"/>
    </row>
    <row r="27" spans="1:37" x14ac:dyDescent="0.3">
      <c r="A27" t="s">
        <v>183</v>
      </c>
      <c r="B27">
        <v>2016</v>
      </c>
      <c r="C27">
        <v>1</v>
      </c>
      <c r="D27">
        <v>1</v>
      </c>
      <c r="E27">
        <v>1</v>
      </c>
      <c r="F27">
        <v>1</v>
      </c>
      <c r="G27">
        <v>1</v>
      </c>
      <c r="H27">
        <v>0</v>
      </c>
      <c r="I27">
        <v>0</v>
      </c>
      <c r="J27">
        <f t="shared" si="0"/>
        <v>5</v>
      </c>
      <c r="K27">
        <v>0</v>
      </c>
      <c r="L27">
        <v>0</v>
      </c>
      <c r="AI27" s="9"/>
      <c r="AJ27" s="9"/>
      <c r="AK27" s="9"/>
    </row>
    <row r="28" spans="1:37" x14ac:dyDescent="0.3">
      <c r="A28" t="s">
        <v>183</v>
      </c>
      <c r="B28">
        <v>2015</v>
      </c>
      <c r="C28">
        <v>1</v>
      </c>
      <c r="D28">
        <v>1</v>
      </c>
      <c r="E28">
        <v>1</v>
      </c>
      <c r="F28">
        <v>0</v>
      </c>
      <c r="G28">
        <v>1</v>
      </c>
      <c r="H28">
        <v>0</v>
      </c>
      <c r="I28">
        <v>0</v>
      </c>
      <c r="J28">
        <f t="shared" si="0"/>
        <v>4</v>
      </c>
      <c r="K28">
        <v>0</v>
      </c>
      <c r="L28">
        <v>0</v>
      </c>
      <c r="AI28" s="9"/>
      <c r="AJ28" s="9"/>
      <c r="AK28" s="9"/>
    </row>
    <row r="29" spans="1:37" x14ac:dyDescent="0.3">
      <c r="A29" t="s">
        <v>183</v>
      </c>
      <c r="B29">
        <v>2014</v>
      </c>
      <c r="C29">
        <v>1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f t="shared" si="0"/>
        <v>2</v>
      </c>
      <c r="K29">
        <v>0</v>
      </c>
      <c r="L29">
        <v>0</v>
      </c>
      <c r="AI29" s="9"/>
      <c r="AJ29" s="9"/>
      <c r="AK29" s="9"/>
    </row>
    <row r="30" spans="1:37" x14ac:dyDescent="0.3">
      <c r="A30" t="s">
        <v>184</v>
      </c>
      <c r="B30">
        <v>2020</v>
      </c>
      <c r="C30">
        <v>1</v>
      </c>
      <c r="D30">
        <v>1</v>
      </c>
      <c r="E30">
        <v>1</v>
      </c>
      <c r="F30">
        <v>0</v>
      </c>
      <c r="G30">
        <v>1</v>
      </c>
      <c r="H30">
        <v>0</v>
      </c>
      <c r="I30">
        <v>1</v>
      </c>
      <c r="J30">
        <f t="shared" si="0"/>
        <v>5</v>
      </c>
      <c r="K30">
        <v>0</v>
      </c>
      <c r="L30">
        <v>0</v>
      </c>
      <c r="AI30" s="9"/>
      <c r="AJ30" s="9"/>
      <c r="AK30" s="9"/>
    </row>
    <row r="31" spans="1:37" x14ac:dyDescent="0.3">
      <c r="A31" t="s">
        <v>184</v>
      </c>
      <c r="B31">
        <v>2019</v>
      </c>
      <c r="C31">
        <v>1</v>
      </c>
      <c r="D31">
        <v>1</v>
      </c>
      <c r="E31">
        <v>1</v>
      </c>
      <c r="F31">
        <v>0</v>
      </c>
      <c r="G31">
        <v>1</v>
      </c>
      <c r="H31">
        <v>0</v>
      </c>
      <c r="I31">
        <v>1</v>
      </c>
      <c r="J31">
        <f t="shared" si="0"/>
        <v>5</v>
      </c>
      <c r="K31">
        <v>0</v>
      </c>
      <c r="L31">
        <v>0</v>
      </c>
      <c r="Q31">
        <v>0.24104742982677299</v>
      </c>
      <c r="R31">
        <v>3.87903996579552E-2</v>
      </c>
      <c r="S31">
        <v>-9.4016656915727095E-2</v>
      </c>
      <c r="T31">
        <v>1.2265331664580801</v>
      </c>
      <c r="U31">
        <v>1.1374876360039501</v>
      </c>
      <c r="V31">
        <v>0.61124694376529098</v>
      </c>
      <c r="W31">
        <v>-0.13770757391656999</v>
      </c>
      <c r="AI31" s="9"/>
      <c r="AJ31" s="9"/>
      <c r="AK31" s="9"/>
    </row>
    <row r="32" spans="1:37" x14ac:dyDescent="0.3">
      <c r="A32" t="s">
        <v>184</v>
      </c>
      <c r="B32">
        <v>2018</v>
      </c>
      <c r="C32">
        <v>1</v>
      </c>
      <c r="D32">
        <v>1</v>
      </c>
      <c r="E32">
        <v>1</v>
      </c>
      <c r="F32">
        <v>0</v>
      </c>
      <c r="G32">
        <v>1</v>
      </c>
      <c r="H32">
        <v>0</v>
      </c>
      <c r="I32">
        <v>1</v>
      </c>
      <c r="J32">
        <f t="shared" si="0"/>
        <v>5</v>
      </c>
      <c r="K32">
        <v>0</v>
      </c>
      <c r="L32">
        <v>0</v>
      </c>
      <c r="AI32" s="9"/>
      <c r="AJ32" s="9"/>
      <c r="AK32" s="9"/>
    </row>
    <row r="33" spans="1:37" x14ac:dyDescent="0.3">
      <c r="A33" t="s">
        <v>184</v>
      </c>
      <c r="B33">
        <v>2017</v>
      </c>
      <c r="C33">
        <v>1</v>
      </c>
      <c r="D33">
        <v>1</v>
      </c>
      <c r="E33">
        <v>1</v>
      </c>
      <c r="F33">
        <v>0</v>
      </c>
      <c r="G33">
        <v>0</v>
      </c>
      <c r="H33">
        <v>0</v>
      </c>
      <c r="I33">
        <v>1</v>
      </c>
      <c r="J33">
        <f t="shared" si="0"/>
        <v>4</v>
      </c>
      <c r="K33">
        <v>0</v>
      </c>
      <c r="L33">
        <v>0</v>
      </c>
      <c r="Q33">
        <v>-4.5475423638379198E-3</v>
      </c>
      <c r="R33">
        <v>0.77830435071658144</v>
      </c>
      <c r="S33">
        <v>1.2934627315590745</v>
      </c>
      <c r="T33">
        <v>1.6678590410685672</v>
      </c>
      <c r="U33">
        <v>0.92581094101274175</v>
      </c>
      <c r="V33">
        <v>0.41027829398301208</v>
      </c>
      <c r="W33">
        <v>-8.9385925002344351</v>
      </c>
      <c r="Z33">
        <v>-4.5475423638379198E-3</v>
      </c>
      <c r="AA33">
        <v>0.24104742982677299</v>
      </c>
      <c r="AI33" s="9"/>
      <c r="AJ33" s="9"/>
      <c r="AK33" s="9"/>
    </row>
    <row r="34" spans="1:37" x14ac:dyDescent="0.3">
      <c r="A34" t="s">
        <v>184</v>
      </c>
      <c r="B34">
        <v>2016</v>
      </c>
      <c r="C34">
        <v>1</v>
      </c>
      <c r="D34">
        <v>0</v>
      </c>
      <c r="E34">
        <v>1</v>
      </c>
      <c r="F34">
        <v>0</v>
      </c>
      <c r="G34">
        <v>0</v>
      </c>
      <c r="H34">
        <v>0</v>
      </c>
      <c r="I34">
        <v>1</v>
      </c>
      <c r="J34">
        <f t="shared" si="0"/>
        <v>3</v>
      </c>
      <c r="K34">
        <v>0</v>
      </c>
      <c r="L34">
        <v>0</v>
      </c>
      <c r="Z34">
        <v>0.77830435071658144</v>
      </c>
      <c r="AA34">
        <v>3.87903996579552E-2</v>
      </c>
      <c r="AI34" s="9"/>
      <c r="AJ34" s="9"/>
      <c r="AK34" s="9"/>
    </row>
    <row r="35" spans="1:37" x14ac:dyDescent="0.3">
      <c r="A35" t="s">
        <v>184</v>
      </c>
      <c r="B35">
        <v>2015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f t="shared" si="0"/>
        <v>2</v>
      </c>
      <c r="K35">
        <v>0</v>
      </c>
      <c r="L35">
        <v>0</v>
      </c>
      <c r="Z35">
        <v>1.2934627315590745</v>
      </c>
      <c r="AA35">
        <v>-9.4016656915727095E-2</v>
      </c>
      <c r="AI35" s="9"/>
      <c r="AJ35" s="9"/>
      <c r="AK35" s="9"/>
    </row>
    <row r="36" spans="1:37" x14ac:dyDescent="0.3">
      <c r="A36" t="s">
        <v>184</v>
      </c>
      <c r="B36">
        <v>2014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f t="shared" si="0"/>
        <v>1</v>
      </c>
      <c r="K36">
        <v>0</v>
      </c>
      <c r="L36">
        <v>0</v>
      </c>
      <c r="Z36">
        <v>1.6678590410685672</v>
      </c>
      <c r="AA36">
        <v>1.2265331664580801</v>
      </c>
      <c r="AI36" s="9"/>
      <c r="AJ36" s="9"/>
      <c r="AK36" s="9"/>
    </row>
    <row r="37" spans="1:37" x14ac:dyDescent="0.3">
      <c r="A37" s="27" t="s">
        <v>185</v>
      </c>
      <c r="B37">
        <v>2020</v>
      </c>
      <c r="J37">
        <f t="shared" si="0"/>
        <v>0</v>
      </c>
      <c r="Z37">
        <v>0.92581094101274175</v>
      </c>
      <c r="AA37">
        <v>1.1374876360039501</v>
      </c>
      <c r="AI37" s="9"/>
      <c r="AJ37" s="9"/>
      <c r="AK37" s="9"/>
    </row>
    <row r="38" spans="1:37" x14ac:dyDescent="0.3">
      <c r="A38" s="27" t="s">
        <v>185</v>
      </c>
      <c r="B38">
        <v>2019</v>
      </c>
      <c r="J38">
        <f t="shared" si="0"/>
        <v>0</v>
      </c>
      <c r="Z38">
        <v>0.41027829398301208</v>
      </c>
      <c r="AA38">
        <v>0.61124694376529098</v>
      </c>
      <c r="AI38" s="9"/>
      <c r="AJ38" s="9"/>
      <c r="AK38" s="9"/>
    </row>
    <row r="39" spans="1:37" x14ac:dyDescent="0.3">
      <c r="A39" s="27" t="s">
        <v>185</v>
      </c>
      <c r="B39">
        <v>2018</v>
      </c>
      <c r="J39">
        <f t="shared" si="0"/>
        <v>0</v>
      </c>
      <c r="Q39">
        <f>SUM($C2:$I2)</f>
        <v>7</v>
      </c>
      <c r="R39">
        <f>SUM($C3:$I3)</f>
        <v>7</v>
      </c>
      <c r="S39">
        <f>SUM($C4:$I4)</f>
        <v>6</v>
      </c>
      <c r="T39">
        <f>SUM($C5:$I5)</f>
        <v>5</v>
      </c>
      <c r="U39">
        <f>SUM($C6:$I6)</f>
        <v>5</v>
      </c>
      <c r="V39">
        <f>SUM($C7:$I7)</f>
        <v>3</v>
      </c>
      <c r="W39">
        <f>SUM($C8:$I8)</f>
        <v>2</v>
      </c>
      <c r="Z39">
        <v>-8.9385925002344351</v>
      </c>
      <c r="AA39">
        <v>-0.13770757391656999</v>
      </c>
      <c r="AI39" s="9"/>
      <c r="AJ39" s="9"/>
      <c r="AK39" s="9"/>
    </row>
    <row r="40" spans="1:37" x14ac:dyDescent="0.3">
      <c r="A40" s="27" t="s">
        <v>185</v>
      </c>
      <c r="B40">
        <v>2017</v>
      </c>
      <c r="J40">
        <f t="shared" si="0"/>
        <v>0</v>
      </c>
      <c r="Q40">
        <f>SUM($C9:$I9)</f>
        <v>7</v>
      </c>
      <c r="R40">
        <f>SUM($C10:$I10)</f>
        <v>7</v>
      </c>
      <c r="S40">
        <f>SUM($C11:$I11)</f>
        <v>6</v>
      </c>
      <c r="T40">
        <f>SUM($C12:$I12)</f>
        <v>5</v>
      </c>
      <c r="U40">
        <f>SUM($C13:$I13)</f>
        <v>5</v>
      </c>
      <c r="V40">
        <f>SUM($C14:$I14)</f>
        <v>1</v>
      </c>
      <c r="W40">
        <f>SUM($C15:$I15)</f>
        <v>1</v>
      </c>
      <c r="AI40" s="9"/>
      <c r="AJ40" s="9"/>
      <c r="AK40" s="9"/>
    </row>
    <row r="41" spans="1:37" x14ac:dyDescent="0.3">
      <c r="A41" s="27" t="s">
        <v>185</v>
      </c>
      <c r="B41">
        <v>2016</v>
      </c>
      <c r="J41">
        <f t="shared" si="0"/>
        <v>0</v>
      </c>
      <c r="Q41">
        <f>SUM($C16:$I16)</f>
        <v>6</v>
      </c>
      <c r="R41">
        <f>SUM($C17:$I17)</f>
        <v>6</v>
      </c>
      <c r="S41">
        <f>SUM($C18:$I18)</f>
        <v>4</v>
      </c>
      <c r="T41">
        <f>SUM($C19:$I19)</f>
        <v>4</v>
      </c>
      <c r="AI41" s="9"/>
      <c r="AJ41" s="9"/>
      <c r="AK41" s="9"/>
    </row>
    <row r="42" spans="1:37" x14ac:dyDescent="0.3">
      <c r="A42" s="27" t="s">
        <v>185</v>
      </c>
      <c r="B42">
        <v>2015</v>
      </c>
      <c r="J42">
        <f t="shared" si="0"/>
        <v>0</v>
      </c>
      <c r="Q42">
        <f>SUM($C23:$I23)</f>
        <v>7</v>
      </c>
      <c r="R42">
        <f>SUM($C24:$I24)</f>
        <v>7</v>
      </c>
      <c r="S42">
        <f>SUM($C25:$I25)</f>
        <v>6</v>
      </c>
      <c r="T42">
        <f>SUM($C26:$I26)</f>
        <v>5</v>
      </c>
      <c r="U42">
        <f>SUM($C27:$I27)</f>
        <v>5</v>
      </c>
      <c r="V42">
        <f>SUM($C28:$I28)</f>
        <v>4</v>
      </c>
      <c r="W42">
        <f>SUM($C29:$I29)</f>
        <v>2</v>
      </c>
      <c r="AI42" s="9"/>
      <c r="AJ42" s="9"/>
      <c r="AK42" s="9"/>
    </row>
    <row r="43" spans="1:37" x14ac:dyDescent="0.3">
      <c r="A43" s="27" t="s">
        <v>185</v>
      </c>
      <c r="B43">
        <v>2014</v>
      </c>
      <c r="J43">
        <f t="shared" si="0"/>
        <v>0</v>
      </c>
      <c r="Q43">
        <f>SUM($C30:$I30)</f>
        <v>5</v>
      </c>
      <c r="R43">
        <f>SUM($C31:$I31)</f>
        <v>5</v>
      </c>
      <c r="S43">
        <f>SUM($C32:$I32)</f>
        <v>5</v>
      </c>
      <c r="T43">
        <f>SUM($C33:$I33)</f>
        <v>4</v>
      </c>
      <c r="U43">
        <f>SUM($C34:$I34)</f>
        <v>3</v>
      </c>
      <c r="V43">
        <f>SUM($C35:$I35)</f>
        <v>2</v>
      </c>
      <c r="W43">
        <f>SUM($C36:$I36)</f>
        <v>1</v>
      </c>
      <c r="AI43" s="9"/>
      <c r="AJ43" s="9"/>
      <c r="AK43" s="9"/>
    </row>
    <row r="44" spans="1:37" x14ac:dyDescent="0.3">
      <c r="A44" s="20" t="s">
        <v>186</v>
      </c>
      <c r="B44">
        <v>2020</v>
      </c>
      <c r="J44">
        <f t="shared" si="0"/>
        <v>0</v>
      </c>
      <c r="AI44" s="9"/>
      <c r="AJ44" s="9"/>
      <c r="AK44" s="9"/>
    </row>
    <row r="45" spans="1:37" x14ac:dyDescent="0.3">
      <c r="A45" s="20" t="s">
        <v>186</v>
      </c>
      <c r="B45">
        <v>2019</v>
      </c>
      <c r="C45">
        <v>1</v>
      </c>
      <c r="D45">
        <v>1</v>
      </c>
      <c r="E45">
        <v>1</v>
      </c>
      <c r="F45">
        <v>0</v>
      </c>
      <c r="G45">
        <v>1</v>
      </c>
      <c r="H45">
        <v>0</v>
      </c>
      <c r="I45">
        <v>1</v>
      </c>
      <c r="J45">
        <f t="shared" si="0"/>
        <v>5</v>
      </c>
      <c r="K45">
        <v>0</v>
      </c>
      <c r="L45">
        <v>0</v>
      </c>
      <c r="R45">
        <f>SUM($C45:$I45)</f>
        <v>5</v>
      </c>
      <c r="S45">
        <f>SUM($C46:$I46)</f>
        <v>5</v>
      </c>
      <c r="T45">
        <f>SUM($C47:$I47)</f>
        <v>3</v>
      </c>
      <c r="U45">
        <f>SUM($C48:$I48)</f>
        <v>3</v>
      </c>
      <c r="V45">
        <f>SUM($C49:$I49)</f>
        <v>3</v>
      </c>
      <c r="W45">
        <f>SUM($C50:$I50)</f>
        <v>3</v>
      </c>
      <c r="AI45" s="9"/>
      <c r="AJ45" s="9"/>
      <c r="AK45" s="9"/>
    </row>
    <row r="46" spans="1:37" x14ac:dyDescent="0.3">
      <c r="A46" s="20" t="s">
        <v>186</v>
      </c>
      <c r="B46">
        <v>2018</v>
      </c>
      <c r="C46">
        <v>1</v>
      </c>
      <c r="D46">
        <v>1</v>
      </c>
      <c r="E46">
        <v>1</v>
      </c>
      <c r="F46">
        <v>0</v>
      </c>
      <c r="G46">
        <v>1</v>
      </c>
      <c r="H46">
        <v>0</v>
      </c>
      <c r="I46">
        <v>1</v>
      </c>
      <c r="J46">
        <f t="shared" si="0"/>
        <v>5</v>
      </c>
      <c r="K46">
        <v>0</v>
      </c>
      <c r="L46">
        <v>0</v>
      </c>
      <c r="Q46">
        <f>SUM($C51:$I51)</f>
        <v>6</v>
      </c>
      <c r="R46">
        <f>SUM($C52:$I52)</f>
        <v>6</v>
      </c>
      <c r="S46">
        <f>SUM($C53:$I53)</f>
        <v>6</v>
      </c>
      <c r="T46">
        <f>SUM($C54:$I54)</f>
        <v>4</v>
      </c>
      <c r="U46">
        <f>SUM($C55:$I55)</f>
        <v>3</v>
      </c>
      <c r="V46">
        <f>SUM($C56:$I56)</f>
        <v>2</v>
      </c>
      <c r="W46">
        <f>SUM($C57:$I57)</f>
        <v>1</v>
      </c>
      <c r="AI46" s="9"/>
      <c r="AJ46" s="9"/>
      <c r="AK46" s="9"/>
    </row>
    <row r="47" spans="1:37" x14ac:dyDescent="0.3">
      <c r="A47" s="20" t="s">
        <v>186</v>
      </c>
      <c r="B47">
        <v>2017</v>
      </c>
      <c r="C47">
        <v>1</v>
      </c>
      <c r="D47">
        <v>0</v>
      </c>
      <c r="E47">
        <v>1</v>
      </c>
      <c r="F47">
        <v>0</v>
      </c>
      <c r="G47">
        <v>0</v>
      </c>
      <c r="H47">
        <v>0</v>
      </c>
      <c r="I47">
        <v>1</v>
      </c>
      <c r="J47">
        <f t="shared" si="0"/>
        <v>3</v>
      </c>
      <c r="K47">
        <v>0</v>
      </c>
      <c r="L47">
        <v>0</v>
      </c>
      <c r="Q47">
        <f>SUM($C58:$I58)</f>
        <v>5</v>
      </c>
      <c r="R47">
        <f>SUM($C59:$I59)</f>
        <v>5</v>
      </c>
      <c r="S47">
        <f>SUM($C60:$I60)</f>
        <v>4</v>
      </c>
      <c r="T47">
        <f>SUM($C61:$I61)</f>
        <v>4</v>
      </c>
      <c r="U47">
        <f>SUM($C62:$I62)</f>
        <v>3</v>
      </c>
      <c r="V47">
        <f>SUM($C63:$I63)</f>
        <v>2</v>
      </c>
      <c r="W47">
        <f>SUM($C64:$I64)</f>
        <v>1</v>
      </c>
      <c r="AI47" s="9"/>
      <c r="AJ47" s="9"/>
      <c r="AK47" s="9"/>
    </row>
    <row r="48" spans="1:37" x14ac:dyDescent="0.3">
      <c r="A48" s="20" t="s">
        <v>186</v>
      </c>
      <c r="B48">
        <v>2016</v>
      </c>
      <c r="C48">
        <v>1</v>
      </c>
      <c r="D48">
        <v>0</v>
      </c>
      <c r="E48">
        <v>1</v>
      </c>
      <c r="F48">
        <v>0</v>
      </c>
      <c r="G48">
        <v>0</v>
      </c>
      <c r="H48">
        <v>0</v>
      </c>
      <c r="I48">
        <v>1</v>
      </c>
      <c r="J48">
        <f t="shared" si="0"/>
        <v>3</v>
      </c>
      <c r="K48">
        <v>0</v>
      </c>
      <c r="L48">
        <v>0</v>
      </c>
      <c r="Q48">
        <f>SUM($C65:$I65)</f>
        <v>5</v>
      </c>
      <c r="R48">
        <f>SUM($C66:$I66)</f>
        <v>4</v>
      </c>
      <c r="S48">
        <f>SUM($C67:$I67)</f>
        <v>4</v>
      </c>
      <c r="T48">
        <f>SUM($C68:$I68)</f>
        <v>3</v>
      </c>
      <c r="U48">
        <f>SUM($C69:$I69)</f>
        <v>3</v>
      </c>
      <c r="V48">
        <f>SUM($C70:$I70)</f>
        <v>1</v>
      </c>
      <c r="W48">
        <f>SUM($C71:$I71)</f>
        <v>1</v>
      </c>
      <c r="AI48" s="9"/>
      <c r="AJ48" s="9"/>
      <c r="AK48" s="9"/>
    </row>
    <row r="49" spans="1:37" x14ac:dyDescent="0.3">
      <c r="A49" s="20" t="s">
        <v>186</v>
      </c>
      <c r="B49">
        <v>2015</v>
      </c>
      <c r="C49">
        <v>1</v>
      </c>
      <c r="D49">
        <v>0</v>
      </c>
      <c r="E49">
        <v>1</v>
      </c>
      <c r="F49">
        <v>0</v>
      </c>
      <c r="G49">
        <v>0</v>
      </c>
      <c r="H49">
        <v>0</v>
      </c>
      <c r="I49">
        <v>1</v>
      </c>
      <c r="J49">
        <f t="shared" si="0"/>
        <v>3</v>
      </c>
      <c r="K49">
        <v>0</v>
      </c>
      <c r="L49">
        <v>0</v>
      </c>
      <c r="AI49" s="9"/>
      <c r="AJ49" s="9"/>
      <c r="AK49" s="9"/>
    </row>
    <row r="50" spans="1:37" x14ac:dyDescent="0.3">
      <c r="A50" s="20" t="s">
        <v>186</v>
      </c>
      <c r="B50">
        <v>2014</v>
      </c>
      <c r="C50">
        <v>1</v>
      </c>
      <c r="D50">
        <v>0</v>
      </c>
      <c r="E50">
        <v>1</v>
      </c>
      <c r="F50">
        <v>0</v>
      </c>
      <c r="G50">
        <v>0</v>
      </c>
      <c r="H50">
        <v>0</v>
      </c>
      <c r="I50">
        <v>1</v>
      </c>
      <c r="J50">
        <f t="shared" si="0"/>
        <v>3</v>
      </c>
      <c r="K50">
        <v>0</v>
      </c>
      <c r="L50">
        <v>0</v>
      </c>
      <c r="Q50">
        <f>SUM($C72:$I72)</f>
        <v>6</v>
      </c>
      <c r="R50">
        <f>SUM($C73:$I73)</f>
        <v>6</v>
      </c>
      <c r="S50">
        <f>SUM($C74:$I74)</f>
        <v>4</v>
      </c>
      <c r="T50">
        <f>SUM($C75:$I75)</f>
        <v>3</v>
      </c>
      <c r="U50">
        <f>SUM($C76:$I76)</f>
        <v>2</v>
      </c>
      <c r="V50">
        <f>SUM($C77:$I77)</f>
        <v>1</v>
      </c>
      <c r="W50">
        <f>SUM($C78:$I78)</f>
        <v>1</v>
      </c>
      <c r="AI50" s="9"/>
      <c r="AJ50" s="9"/>
      <c r="AK50" s="9"/>
    </row>
    <row r="51" spans="1:37" x14ac:dyDescent="0.3">
      <c r="A51" t="s">
        <v>187</v>
      </c>
      <c r="B51">
        <v>2020</v>
      </c>
      <c r="C51">
        <v>1</v>
      </c>
      <c r="D51">
        <v>1</v>
      </c>
      <c r="E51">
        <v>1</v>
      </c>
      <c r="F51">
        <v>1</v>
      </c>
      <c r="G51">
        <v>1</v>
      </c>
      <c r="H51">
        <v>0</v>
      </c>
      <c r="I51">
        <v>1</v>
      </c>
      <c r="J51">
        <f t="shared" si="0"/>
        <v>6</v>
      </c>
      <c r="K51">
        <v>0</v>
      </c>
      <c r="L51">
        <v>1</v>
      </c>
      <c r="Q51">
        <f>SUM($C86:$I86)</f>
        <v>4</v>
      </c>
      <c r="R51">
        <f>SUM($C87:$I87)</f>
        <v>4</v>
      </c>
      <c r="S51">
        <f>SUM($C88:$I88)</f>
        <v>2</v>
      </c>
      <c r="T51">
        <f>SUM($C89:$I89)</f>
        <v>2</v>
      </c>
      <c r="U51">
        <f>SUM($C90:$I90)</f>
        <v>2</v>
      </c>
      <c r="V51">
        <f>SUM($C91:$I91)</f>
        <v>2</v>
      </c>
      <c r="W51">
        <f>SUM($C92:$I92)</f>
        <v>1</v>
      </c>
      <c r="AI51" s="9"/>
      <c r="AJ51" s="9"/>
      <c r="AK51" s="9"/>
    </row>
    <row r="52" spans="1:37" x14ac:dyDescent="0.3">
      <c r="A52" t="s">
        <v>187</v>
      </c>
      <c r="B52">
        <v>2019</v>
      </c>
      <c r="C52">
        <v>1</v>
      </c>
      <c r="D52">
        <v>1</v>
      </c>
      <c r="E52">
        <v>1</v>
      </c>
      <c r="F52">
        <v>1</v>
      </c>
      <c r="G52">
        <v>1</v>
      </c>
      <c r="H52">
        <v>0</v>
      </c>
      <c r="I52">
        <v>1</v>
      </c>
      <c r="J52">
        <f t="shared" si="0"/>
        <v>6</v>
      </c>
      <c r="K52">
        <v>0</v>
      </c>
      <c r="L52">
        <v>0</v>
      </c>
      <c r="Q52">
        <f>SUM($C93:$I93)</f>
        <v>5</v>
      </c>
      <c r="R52">
        <f>SUM($C94:$I94)</f>
        <v>4</v>
      </c>
      <c r="S52">
        <f>SUM($C95:$I95)</f>
        <v>4</v>
      </c>
      <c r="T52">
        <f>SUM($C96:$I96)</f>
        <v>4</v>
      </c>
      <c r="U52">
        <f>SUM($C97:$I97)</f>
        <v>4</v>
      </c>
      <c r="V52">
        <f>SUM($C98:$I98)</f>
        <v>2</v>
      </c>
      <c r="W52">
        <f>SUM($C99:$I99)</f>
        <v>1</v>
      </c>
      <c r="AI52" s="9"/>
      <c r="AJ52" s="9"/>
      <c r="AK52" s="9"/>
    </row>
    <row r="53" spans="1:37" x14ac:dyDescent="0.3">
      <c r="A53" t="s">
        <v>187</v>
      </c>
      <c r="B53">
        <v>2018</v>
      </c>
      <c r="C53">
        <v>1</v>
      </c>
      <c r="D53">
        <v>1</v>
      </c>
      <c r="E53">
        <v>1</v>
      </c>
      <c r="F53">
        <v>1</v>
      </c>
      <c r="G53">
        <v>1</v>
      </c>
      <c r="H53">
        <v>0</v>
      </c>
      <c r="I53">
        <v>1</v>
      </c>
      <c r="J53">
        <f t="shared" si="0"/>
        <v>6</v>
      </c>
      <c r="K53">
        <v>0</v>
      </c>
      <c r="L53">
        <v>0</v>
      </c>
      <c r="Q53">
        <f>SUM($C100:$I100)</f>
        <v>7</v>
      </c>
      <c r="R53">
        <f>SUM($C101:$I101)</f>
        <v>6</v>
      </c>
      <c r="S53">
        <f>SUM($C102:$I102)</f>
        <v>6</v>
      </c>
      <c r="T53">
        <f>SUM($C103:$I103)</f>
        <v>4</v>
      </c>
      <c r="U53">
        <f>SUM($C104:$I104)</f>
        <v>4</v>
      </c>
      <c r="V53">
        <f>SUM($C105:$I105)</f>
        <v>1</v>
      </c>
      <c r="W53">
        <f>SUM($C106:$I106)</f>
        <v>1</v>
      </c>
      <c r="AI53" s="9"/>
      <c r="AJ53" s="9"/>
      <c r="AK53" s="9"/>
    </row>
    <row r="54" spans="1:37" x14ac:dyDescent="0.3">
      <c r="A54" t="s">
        <v>187</v>
      </c>
      <c r="B54">
        <v>2017</v>
      </c>
      <c r="C54">
        <v>1</v>
      </c>
      <c r="D54">
        <v>1</v>
      </c>
      <c r="E54">
        <v>1</v>
      </c>
      <c r="F54">
        <v>1</v>
      </c>
      <c r="G54">
        <v>0</v>
      </c>
      <c r="H54">
        <v>0</v>
      </c>
      <c r="I54">
        <v>0</v>
      </c>
      <c r="J54">
        <f t="shared" si="0"/>
        <v>4</v>
      </c>
      <c r="K54">
        <v>0</v>
      </c>
      <c r="L54">
        <v>0</v>
      </c>
      <c r="AI54" s="9"/>
      <c r="AJ54" s="9"/>
      <c r="AK54" s="9"/>
    </row>
    <row r="55" spans="1:37" x14ac:dyDescent="0.3">
      <c r="A55" t="s">
        <v>187</v>
      </c>
      <c r="B55">
        <v>2016</v>
      </c>
      <c r="C55">
        <v>1</v>
      </c>
      <c r="D55">
        <v>0</v>
      </c>
      <c r="E55">
        <v>1</v>
      </c>
      <c r="F55">
        <v>1</v>
      </c>
      <c r="G55">
        <v>0</v>
      </c>
      <c r="H55">
        <v>0</v>
      </c>
      <c r="I55">
        <v>0</v>
      </c>
      <c r="J55">
        <f t="shared" si="0"/>
        <v>3</v>
      </c>
      <c r="K55">
        <v>0</v>
      </c>
      <c r="L55">
        <v>0</v>
      </c>
      <c r="AI55" s="9"/>
      <c r="AJ55" s="9"/>
      <c r="AK55" s="9"/>
    </row>
    <row r="56" spans="1:37" x14ac:dyDescent="0.3">
      <c r="A56" t="s">
        <v>187</v>
      </c>
      <c r="B56">
        <v>2015</v>
      </c>
      <c r="C56">
        <v>1</v>
      </c>
      <c r="D56">
        <v>0</v>
      </c>
      <c r="E56">
        <v>1</v>
      </c>
      <c r="F56">
        <v>0</v>
      </c>
      <c r="G56">
        <v>0</v>
      </c>
      <c r="H56">
        <v>0</v>
      </c>
      <c r="I56">
        <v>0</v>
      </c>
      <c r="J56">
        <f t="shared" si="0"/>
        <v>2</v>
      </c>
      <c r="K56">
        <v>0</v>
      </c>
      <c r="L56">
        <v>0</v>
      </c>
      <c r="AI56" s="9"/>
      <c r="AJ56" s="9"/>
      <c r="AK56" s="9"/>
    </row>
    <row r="57" spans="1:37" x14ac:dyDescent="0.3">
      <c r="A57" t="s">
        <v>187</v>
      </c>
      <c r="B57">
        <v>2014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f t="shared" si="0"/>
        <v>1</v>
      </c>
      <c r="K57">
        <v>0</v>
      </c>
      <c r="L57">
        <v>0</v>
      </c>
      <c r="AI57" s="9"/>
      <c r="AJ57" s="9"/>
      <c r="AK57" s="9"/>
    </row>
    <row r="58" spans="1:37" x14ac:dyDescent="0.3">
      <c r="A58" t="s">
        <v>188</v>
      </c>
      <c r="B58">
        <v>2020</v>
      </c>
      <c r="C58">
        <v>1</v>
      </c>
      <c r="D58">
        <v>1</v>
      </c>
      <c r="E58">
        <v>0</v>
      </c>
      <c r="F58">
        <v>0</v>
      </c>
      <c r="G58">
        <v>1</v>
      </c>
      <c r="H58">
        <v>1</v>
      </c>
      <c r="I58">
        <v>1</v>
      </c>
      <c r="J58">
        <f t="shared" si="0"/>
        <v>5</v>
      </c>
      <c r="K58">
        <v>0</v>
      </c>
      <c r="L58">
        <v>0</v>
      </c>
      <c r="AI58" s="9"/>
      <c r="AJ58" s="9"/>
      <c r="AK58" s="9"/>
    </row>
    <row r="59" spans="1:37" x14ac:dyDescent="0.3">
      <c r="A59" t="s">
        <v>188</v>
      </c>
      <c r="B59">
        <v>2019</v>
      </c>
      <c r="C59">
        <v>1</v>
      </c>
      <c r="D59">
        <v>1</v>
      </c>
      <c r="E59">
        <v>0</v>
      </c>
      <c r="F59">
        <v>0</v>
      </c>
      <c r="G59">
        <v>1</v>
      </c>
      <c r="H59">
        <v>1</v>
      </c>
      <c r="I59">
        <v>1</v>
      </c>
      <c r="J59">
        <f t="shared" si="0"/>
        <v>5</v>
      </c>
      <c r="K59">
        <v>0</v>
      </c>
      <c r="L59">
        <v>0</v>
      </c>
      <c r="AI59" s="9"/>
      <c r="AJ59" s="9"/>
      <c r="AK59" s="9"/>
    </row>
    <row r="60" spans="1:37" x14ac:dyDescent="0.3">
      <c r="A60" t="s">
        <v>188</v>
      </c>
      <c r="B60">
        <v>2018</v>
      </c>
      <c r="C60">
        <v>1</v>
      </c>
      <c r="D60">
        <v>1</v>
      </c>
      <c r="E60">
        <v>0</v>
      </c>
      <c r="F60">
        <v>0</v>
      </c>
      <c r="G60">
        <v>1</v>
      </c>
      <c r="H60">
        <v>0</v>
      </c>
      <c r="I60">
        <v>1</v>
      </c>
      <c r="J60">
        <f t="shared" si="0"/>
        <v>4</v>
      </c>
      <c r="K60">
        <v>0</v>
      </c>
      <c r="L60">
        <v>0</v>
      </c>
      <c r="AI60" s="9"/>
      <c r="AJ60" s="9"/>
      <c r="AK60" s="9"/>
    </row>
    <row r="61" spans="1:37" x14ac:dyDescent="0.3">
      <c r="A61" t="s">
        <v>188</v>
      </c>
      <c r="B61">
        <v>2017</v>
      </c>
      <c r="C61">
        <v>1</v>
      </c>
      <c r="D61">
        <v>1</v>
      </c>
      <c r="E61">
        <v>0</v>
      </c>
      <c r="F61">
        <v>0</v>
      </c>
      <c r="G61">
        <v>1</v>
      </c>
      <c r="H61">
        <v>0</v>
      </c>
      <c r="I61">
        <v>1</v>
      </c>
      <c r="J61">
        <f t="shared" si="0"/>
        <v>4</v>
      </c>
      <c r="K61">
        <v>0</v>
      </c>
      <c r="L61">
        <v>0</v>
      </c>
      <c r="AI61" s="9"/>
      <c r="AJ61" s="9"/>
      <c r="AK61" s="9"/>
    </row>
    <row r="62" spans="1:37" x14ac:dyDescent="0.3">
      <c r="A62" t="s">
        <v>188</v>
      </c>
      <c r="B62">
        <v>2016</v>
      </c>
      <c r="C62">
        <v>1</v>
      </c>
      <c r="D62">
        <v>1</v>
      </c>
      <c r="E62">
        <v>0</v>
      </c>
      <c r="F62">
        <v>0</v>
      </c>
      <c r="G62">
        <v>1</v>
      </c>
      <c r="H62">
        <v>0</v>
      </c>
      <c r="I62">
        <v>0</v>
      </c>
      <c r="J62">
        <f t="shared" si="0"/>
        <v>3</v>
      </c>
      <c r="K62">
        <v>0</v>
      </c>
      <c r="L62">
        <v>0</v>
      </c>
      <c r="AI62" s="9"/>
      <c r="AJ62" s="9"/>
      <c r="AK62" s="9"/>
    </row>
    <row r="63" spans="1:37" x14ac:dyDescent="0.3">
      <c r="A63" t="s">
        <v>188</v>
      </c>
      <c r="B63">
        <v>2015</v>
      </c>
      <c r="C63">
        <v>1</v>
      </c>
      <c r="D63">
        <v>0</v>
      </c>
      <c r="E63">
        <v>0</v>
      </c>
      <c r="F63">
        <v>0</v>
      </c>
      <c r="G63">
        <v>1</v>
      </c>
      <c r="H63">
        <v>0</v>
      </c>
      <c r="I63">
        <v>0</v>
      </c>
      <c r="J63">
        <f t="shared" si="0"/>
        <v>2</v>
      </c>
      <c r="K63">
        <v>0</v>
      </c>
      <c r="L63">
        <v>0</v>
      </c>
      <c r="AI63" s="9"/>
      <c r="AJ63" s="9"/>
      <c r="AK63" s="9"/>
    </row>
    <row r="64" spans="1:37" x14ac:dyDescent="0.3">
      <c r="A64" t="s">
        <v>188</v>
      </c>
      <c r="B64">
        <v>2014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f t="shared" si="0"/>
        <v>1</v>
      </c>
      <c r="K64">
        <v>0</v>
      </c>
      <c r="L64">
        <v>0</v>
      </c>
      <c r="AI64" s="9"/>
      <c r="AJ64" s="9"/>
      <c r="AK64" s="9"/>
    </row>
    <row r="65" spans="1:37" x14ac:dyDescent="0.3">
      <c r="A65" t="s">
        <v>189</v>
      </c>
      <c r="B65">
        <v>2020</v>
      </c>
      <c r="C65">
        <v>1</v>
      </c>
      <c r="D65">
        <v>0</v>
      </c>
      <c r="E65">
        <v>1</v>
      </c>
      <c r="F65">
        <v>1</v>
      </c>
      <c r="G65">
        <v>1</v>
      </c>
      <c r="H65">
        <v>0</v>
      </c>
      <c r="I65">
        <v>1</v>
      </c>
      <c r="J65">
        <f t="shared" si="0"/>
        <v>5</v>
      </c>
      <c r="K65">
        <v>1</v>
      </c>
      <c r="L65">
        <v>1</v>
      </c>
      <c r="AI65" s="9"/>
      <c r="AJ65" s="9"/>
      <c r="AK65" s="9"/>
    </row>
    <row r="66" spans="1:37" x14ac:dyDescent="0.3">
      <c r="A66" t="s">
        <v>189</v>
      </c>
      <c r="B66">
        <v>2019</v>
      </c>
      <c r="C66">
        <v>1</v>
      </c>
      <c r="D66">
        <v>0</v>
      </c>
      <c r="E66">
        <v>1</v>
      </c>
      <c r="F66">
        <v>0</v>
      </c>
      <c r="G66">
        <v>1</v>
      </c>
      <c r="H66">
        <v>0</v>
      </c>
      <c r="I66">
        <v>1</v>
      </c>
      <c r="J66">
        <f t="shared" ref="J66:J129" si="2">SUM($C66:$I66)</f>
        <v>4</v>
      </c>
      <c r="K66">
        <v>0</v>
      </c>
      <c r="L66">
        <v>1</v>
      </c>
      <c r="AI66" s="9"/>
      <c r="AJ66" s="9"/>
      <c r="AK66" s="9"/>
    </row>
    <row r="67" spans="1:37" x14ac:dyDescent="0.3">
      <c r="A67" t="s">
        <v>189</v>
      </c>
      <c r="B67">
        <v>2018</v>
      </c>
      <c r="C67">
        <v>1</v>
      </c>
      <c r="D67">
        <v>0</v>
      </c>
      <c r="E67">
        <v>1</v>
      </c>
      <c r="F67">
        <v>0</v>
      </c>
      <c r="G67">
        <v>1</v>
      </c>
      <c r="H67">
        <v>0</v>
      </c>
      <c r="I67">
        <v>1</v>
      </c>
      <c r="J67">
        <f t="shared" si="2"/>
        <v>4</v>
      </c>
      <c r="K67">
        <v>0</v>
      </c>
      <c r="L67">
        <v>1</v>
      </c>
      <c r="AI67" s="9"/>
      <c r="AJ67" s="9"/>
      <c r="AK67" s="9"/>
    </row>
    <row r="68" spans="1:37" x14ac:dyDescent="0.3">
      <c r="A68" t="s">
        <v>189</v>
      </c>
      <c r="B68">
        <v>2017</v>
      </c>
      <c r="C68">
        <v>1</v>
      </c>
      <c r="D68">
        <v>0</v>
      </c>
      <c r="E68">
        <v>1</v>
      </c>
      <c r="F68">
        <v>0</v>
      </c>
      <c r="G68">
        <v>0</v>
      </c>
      <c r="H68">
        <v>0</v>
      </c>
      <c r="I68">
        <v>1</v>
      </c>
      <c r="J68">
        <f t="shared" si="2"/>
        <v>3</v>
      </c>
      <c r="K68">
        <v>0</v>
      </c>
      <c r="L68">
        <v>0</v>
      </c>
      <c r="AI68" s="9"/>
      <c r="AJ68" s="9"/>
      <c r="AK68" s="9"/>
    </row>
    <row r="69" spans="1:37" x14ac:dyDescent="0.3">
      <c r="A69" t="s">
        <v>189</v>
      </c>
      <c r="B69">
        <v>2016</v>
      </c>
      <c r="C69">
        <v>1</v>
      </c>
      <c r="D69">
        <v>0</v>
      </c>
      <c r="E69">
        <v>1</v>
      </c>
      <c r="F69">
        <v>0</v>
      </c>
      <c r="G69">
        <v>0</v>
      </c>
      <c r="H69">
        <v>0</v>
      </c>
      <c r="I69">
        <v>1</v>
      </c>
      <c r="J69">
        <f t="shared" si="2"/>
        <v>3</v>
      </c>
      <c r="K69">
        <v>0</v>
      </c>
      <c r="L69">
        <v>0</v>
      </c>
      <c r="AI69" s="9"/>
      <c r="AJ69" s="9"/>
      <c r="AK69" s="9"/>
    </row>
    <row r="70" spans="1:37" x14ac:dyDescent="0.3">
      <c r="A70" t="s">
        <v>189</v>
      </c>
      <c r="B70">
        <v>2015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f t="shared" si="2"/>
        <v>1</v>
      </c>
      <c r="K70">
        <v>0</v>
      </c>
      <c r="L70">
        <v>0</v>
      </c>
      <c r="AI70" s="9"/>
      <c r="AJ70" s="9"/>
      <c r="AK70" s="9"/>
    </row>
    <row r="71" spans="1:37" x14ac:dyDescent="0.3">
      <c r="A71" t="s">
        <v>189</v>
      </c>
      <c r="B71">
        <v>2014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f t="shared" si="2"/>
        <v>1</v>
      </c>
      <c r="K71">
        <v>0</v>
      </c>
      <c r="L71">
        <v>0</v>
      </c>
      <c r="AI71" s="9"/>
      <c r="AJ71" s="9"/>
      <c r="AK71" s="9"/>
    </row>
    <row r="72" spans="1:37" ht="26.4" x14ac:dyDescent="0.3">
      <c r="A72" s="25" t="s">
        <v>190</v>
      </c>
      <c r="B72">
        <v>2020</v>
      </c>
      <c r="C72">
        <v>1</v>
      </c>
      <c r="D72">
        <v>1</v>
      </c>
      <c r="E72">
        <v>1</v>
      </c>
      <c r="F72">
        <v>0</v>
      </c>
      <c r="G72">
        <v>1</v>
      </c>
      <c r="H72">
        <v>1</v>
      </c>
      <c r="I72">
        <v>1</v>
      </c>
      <c r="J72">
        <f t="shared" si="2"/>
        <v>6</v>
      </c>
      <c r="K72">
        <v>1</v>
      </c>
      <c r="L72">
        <v>0</v>
      </c>
      <c r="AI72" s="9"/>
      <c r="AJ72" s="9"/>
      <c r="AK72" s="9"/>
    </row>
    <row r="73" spans="1:37" ht="26.4" x14ac:dyDescent="0.3">
      <c r="A73" s="25" t="s">
        <v>190</v>
      </c>
      <c r="B73">
        <v>2019</v>
      </c>
      <c r="C73">
        <v>1</v>
      </c>
      <c r="D73">
        <v>1</v>
      </c>
      <c r="E73">
        <v>1</v>
      </c>
      <c r="F73">
        <v>0</v>
      </c>
      <c r="G73">
        <v>1</v>
      </c>
      <c r="H73">
        <v>1</v>
      </c>
      <c r="I73">
        <v>1</v>
      </c>
      <c r="J73">
        <f t="shared" si="2"/>
        <v>6</v>
      </c>
      <c r="K73">
        <v>1</v>
      </c>
      <c r="L73">
        <v>0</v>
      </c>
      <c r="AI73" s="9"/>
      <c r="AJ73" s="9"/>
      <c r="AK73" s="9"/>
    </row>
    <row r="74" spans="1:37" ht="26.4" x14ac:dyDescent="0.3">
      <c r="A74" s="25" t="s">
        <v>190</v>
      </c>
      <c r="B74">
        <v>2018</v>
      </c>
      <c r="C74">
        <v>1</v>
      </c>
      <c r="D74">
        <v>1</v>
      </c>
      <c r="E74">
        <v>1</v>
      </c>
      <c r="F74">
        <v>0</v>
      </c>
      <c r="G74">
        <v>0</v>
      </c>
      <c r="H74">
        <v>0</v>
      </c>
      <c r="I74">
        <v>1</v>
      </c>
      <c r="J74">
        <f t="shared" si="2"/>
        <v>4</v>
      </c>
      <c r="K74">
        <v>0</v>
      </c>
      <c r="L74">
        <v>0</v>
      </c>
      <c r="AI74" s="9"/>
      <c r="AJ74" s="9"/>
      <c r="AK74" s="9"/>
    </row>
    <row r="75" spans="1:37" ht="26.4" x14ac:dyDescent="0.3">
      <c r="A75" s="25" t="s">
        <v>190</v>
      </c>
      <c r="B75">
        <v>2017</v>
      </c>
      <c r="C75">
        <v>1</v>
      </c>
      <c r="D75">
        <v>0</v>
      </c>
      <c r="E75">
        <v>1</v>
      </c>
      <c r="F75">
        <v>0</v>
      </c>
      <c r="G75">
        <v>0</v>
      </c>
      <c r="H75">
        <v>0</v>
      </c>
      <c r="I75">
        <v>1</v>
      </c>
      <c r="J75">
        <f t="shared" si="2"/>
        <v>3</v>
      </c>
      <c r="K75">
        <v>0</v>
      </c>
      <c r="L75">
        <v>0</v>
      </c>
      <c r="AI75" s="9"/>
      <c r="AJ75" s="9"/>
      <c r="AK75" s="9"/>
    </row>
    <row r="76" spans="1:37" ht="26.4" x14ac:dyDescent="0.3">
      <c r="A76" s="25" t="s">
        <v>190</v>
      </c>
      <c r="B76">
        <v>2016</v>
      </c>
      <c r="C76">
        <v>1</v>
      </c>
      <c r="D76">
        <v>0</v>
      </c>
      <c r="E76">
        <v>1</v>
      </c>
      <c r="F76">
        <v>0</v>
      </c>
      <c r="G76">
        <v>0</v>
      </c>
      <c r="H76">
        <v>0</v>
      </c>
      <c r="I76">
        <v>0</v>
      </c>
      <c r="J76">
        <f t="shared" si="2"/>
        <v>2</v>
      </c>
      <c r="K76">
        <v>0</v>
      </c>
      <c r="L76">
        <v>0</v>
      </c>
      <c r="AI76" s="9"/>
      <c r="AJ76" s="9"/>
      <c r="AK76" s="9"/>
    </row>
    <row r="77" spans="1:37" ht="26.4" x14ac:dyDescent="0.3">
      <c r="A77" s="25" t="s">
        <v>190</v>
      </c>
      <c r="B77">
        <v>2015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f t="shared" si="2"/>
        <v>1</v>
      </c>
      <c r="K77">
        <v>0</v>
      </c>
      <c r="L77">
        <v>0</v>
      </c>
      <c r="AI77" s="9"/>
      <c r="AJ77" s="9"/>
      <c r="AK77" s="9"/>
    </row>
    <row r="78" spans="1:37" ht="26.4" x14ac:dyDescent="0.3">
      <c r="A78" s="25" t="s">
        <v>190</v>
      </c>
      <c r="B78">
        <v>2014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f t="shared" si="2"/>
        <v>1</v>
      </c>
      <c r="K78">
        <v>0</v>
      </c>
      <c r="L78">
        <v>0</v>
      </c>
      <c r="AI78" s="9"/>
      <c r="AJ78" s="9"/>
      <c r="AK78" s="9"/>
    </row>
    <row r="79" spans="1:37" x14ac:dyDescent="0.3">
      <c r="A79" t="s">
        <v>191</v>
      </c>
      <c r="B79">
        <v>2020</v>
      </c>
      <c r="J79">
        <f t="shared" si="2"/>
        <v>0</v>
      </c>
      <c r="AI79" s="9"/>
      <c r="AJ79" s="9"/>
      <c r="AK79" s="9"/>
    </row>
    <row r="80" spans="1:37" x14ac:dyDescent="0.3">
      <c r="A80" t="s">
        <v>191</v>
      </c>
      <c r="B80">
        <v>2019</v>
      </c>
      <c r="J80">
        <f t="shared" si="2"/>
        <v>0</v>
      </c>
      <c r="AI80" s="9"/>
      <c r="AJ80" s="9"/>
      <c r="AK80" s="9"/>
    </row>
    <row r="81" spans="1:37" x14ac:dyDescent="0.3">
      <c r="A81" s="26" t="s">
        <v>191</v>
      </c>
      <c r="B81">
        <v>2018</v>
      </c>
      <c r="J81">
        <f t="shared" si="2"/>
        <v>0</v>
      </c>
      <c r="AI81" s="9"/>
      <c r="AJ81" s="9"/>
      <c r="AK81" s="9"/>
    </row>
    <row r="82" spans="1:37" x14ac:dyDescent="0.3">
      <c r="A82" s="20" t="s">
        <v>191</v>
      </c>
      <c r="B82">
        <v>2017</v>
      </c>
      <c r="J82">
        <f t="shared" si="2"/>
        <v>0</v>
      </c>
      <c r="AI82" s="9"/>
      <c r="AJ82" s="9"/>
      <c r="AK82" s="9"/>
    </row>
    <row r="83" spans="1:37" x14ac:dyDescent="0.3">
      <c r="A83" s="20" t="s">
        <v>191</v>
      </c>
      <c r="B83">
        <v>2016</v>
      </c>
      <c r="J83">
        <f t="shared" si="2"/>
        <v>0</v>
      </c>
      <c r="AI83" s="9"/>
      <c r="AJ83" s="9"/>
      <c r="AK83" s="9"/>
    </row>
    <row r="84" spans="1:37" x14ac:dyDescent="0.3">
      <c r="A84" s="20" t="s">
        <v>191</v>
      </c>
      <c r="B84">
        <v>2015</v>
      </c>
      <c r="J84">
        <f t="shared" si="2"/>
        <v>0</v>
      </c>
      <c r="AI84" s="9"/>
      <c r="AJ84" s="9"/>
      <c r="AK84" s="9"/>
    </row>
    <row r="85" spans="1:37" x14ac:dyDescent="0.3">
      <c r="A85" s="20" t="s">
        <v>191</v>
      </c>
      <c r="B85">
        <v>2014</v>
      </c>
      <c r="J85">
        <f t="shared" si="2"/>
        <v>0</v>
      </c>
      <c r="AI85" s="9"/>
      <c r="AJ85" s="9"/>
      <c r="AK85" s="9"/>
    </row>
    <row r="86" spans="1:37" x14ac:dyDescent="0.3">
      <c r="A86" t="s">
        <v>192</v>
      </c>
      <c r="B86">
        <v>2020</v>
      </c>
      <c r="C86">
        <v>1</v>
      </c>
      <c r="D86">
        <v>0</v>
      </c>
      <c r="E86">
        <v>1</v>
      </c>
      <c r="F86">
        <v>0</v>
      </c>
      <c r="G86">
        <v>1</v>
      </c>
      <c r="H86">
        <v>0</v>
      </c>
      <c r="I86">
        <v>1</v>
      </c>
      <c r="J86">
        <f t="shared" si="2"/>
        <v>4</v>
      </c>
      <c r="K86">
        <v>0</v>
      </c>
      <c r="L86">
        <v>0</v>
      </c>
      <c r="AI86" s="9"/>
      <c r="AJ86" s="9"/>
      <c r="AK86" s="9"/>
    </row>
    <row r="87" spans="1:37" x14ac:dyDescent="0.3">
      <c r="A87" t="s">
        <v>192</v>
      </c>
      <c r="B87">
        <v>2019</v>
      </c>
      <c r="C87">
        <v>1</v>
      </c>
      <c r="D87">
        <v>0</v>
      </c>
      <c r="E87">
        <v>1</v>
      </c>
      <c r="F87">
        <v>0</v>
      </c>
      <c r="G87">
        <v>1</v>
      </c>
      <c r="H87">
        <v>0</v>
      </c>
      <c r="I87">
        <v>1</v>
      </c>
      <c r="J87">
        <f t="shared" si="2"/>
        <v>4</v>
      </c>
      <c r="K87">
        <v>0</v>
      </c>
      <c r="L87">
        <v>0</v>
      </c>
      <c r="AI87" s="9"/>
      <c r="AJ87" s="9"/>
      <c r="AK87" s="9"/>
    </row>
    <row r="88" spans="1:37" x14ac:dyDescent="0.3">
      <c r="A88" t="s">
        <v>192</v>
      </c>
      <c r="B88">
        <v>2018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1</v>
      </c>
      <c r="J88">
        <f t="shared" si="2"/>
        <v>2</v>
      </c>
      <c r="K88">
        <v>0</v>
      </c>
      <c r="L88">
        <v>0</v>
      </c>
      <c r="AI88" s="9"/>
      <c r="AJ88" s="9"/>
      <c r="AK88" s="9"/>
    </row>
    <row r="89" spans="1:37" x14ac:dyDescent="0.3">
      <c r="A89" t="s">
        <v>192</v>
      </c>
      <c r="B89">
        <v>2017</v>
      </c>
      <c r="C89">
        <v>1</v>
      </c>
      <c r="D89">
        <v>0</v>
      </c>
      <c r="E89">
        <v>0</v>
      </c>
      <c r="F89">
        <v>0</v>
      </c>
      <c r="G89">
        <v>0</v>
      </c>
      <c r="H89">
        <v>0</v>
      </c>
      <c r="I89">
        <v>1</v>
      </c>
      <c r="J89">
        <f t="shared" si="2"/>
        <v>2</v>
      </c>
      <c r="K89">
        <v>0</v>
      </c>
      <c r="L89">
        <v>0</v>
      </c>
      <c r="AI89" s="9"/>
      <c r="AJ89" s="9"/>
      <c r="AK89" s="9"/>
    </row>
    <row r="90" spans="1:37" x14ac:dyDescent="0.3">
      <c r="A90" t="s">
        <v>192</v>
      </c>
      <c r="B90">
        <v>2016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1</v>
      </c>
      <c r="J90">
        <f t="shared" si="2"/>
        <v>2</v>
      </c>
      <c r="K90">
        <v>0</v>
      </c>
      <c r="L90">
        <v>0</v>
      </c>
      <c r="AI90" s="9"/>
      <c r="AJ90" s="9"/>
      <c r="AK90" s="9"/>
    </row>
    <row r="91" spans="1:37" x14ac:dyDescent="0.3">
      <c r="A91" t="s">
        <v>192</v>
      </c>
      <c r="B91">
        <v>2015</v>
      </c>
      <c r="C91">
        <v>1</v>
      </c>
      <c r="D91">
        <v>0</v>
      </c>
      <c r="E91">
        <v>0</v>
      </c>
      <c r="F91">
        <v>0</v>
      </c>
      <c r="G91">
        <v>0</v>
      </c>
      <c r="H91">
        <v>0</v>
      </c>
      <c r="I91">
        <v>1</v>
      </c>
      <c r="J91">
        <f t="shared" si="2"/>
        <v>2</v>
      </c>
      <c r="K91">
        <v>0</v>
      </c>
      <c r="L91">
        <v>0</v>
      </c>
      <c r="AI91" s="9"/>
      <c r="AJ91" s="9"/>
      <c r="AK91" s="9"/>
    </row>
    <row r="92" spans="1:37" x14ac:dyDescent="0.3">
      <c r="A92" t="s">
        <v>192</v>
      </c>
      <c r="B92">
        <v>2014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f t="shared" si="2"/>
        <v>1</v>
      </c>
      <c r="K92">
        <v>0</v>
      </c>
      <c r="L92">
        <v>0</v>
      </c>
      <c r="AI92" s="9"/>
      <c r="AJ92" s="9"/>
      <c r="AK92" s="9"/>
    </row>
    <row r="93" spans="1:37" x14ac:dyDescent="0.3">
      <c r="A93" t="s">
        <v>193</v>
      </c>
      <c r="B93">
        <v>2020</v>
      </c>
      <c r="C93">
        <v>1</v>
      </c>
      <c r="D93">
        <v>1</v>
      </c>
      <c r="E93">
        <v>1</v>
      </c>
      <c r="F93">
        <v>0</v>
      </c>
      <c r="G93">
        <v>1</v>
      </c>
      <c r="H93">
        <v>0</v>
      </c>
      <c r="I93">
        <v>1</v>
      </c>
      <c r="J93">
        <f t="shared" si="2"/>
        <v>5</v>
      </c>
      <c r="K93">
        <v>0</v>
      </c>
      <c r="L93">
        <v>0</v>
      </c>
      <c r="AI93" s="9"/>
      <c r="AJ93" s="9"/>
      <c r="AK93" s="9"/>
    </row>
    <row r="94" spans="1:37" x14ac:dyDescent="0.3">
      <c r="A94" t="s">
        <v>193</v>
      </c>
      <c r="B94">
        <v>2019</v>
      </c>
      <c r="C94">
        <v>1</v>
      </c>
      <c r="D94">
        <v>1</v>
      </c>
      <c r="E94">
        <v>1</v>
      </c>
      <c r="F94">
        <v>0</v>
      </c>
      <c r="G94">
        <v>0</v>
      </c>
      <c r="H94">
        <v>0</v>
      </c>
      <c r="I94">
        <v>1</v>
      </c>
      <c r="J94">
        <f t="shared" si="2"/>
        <v>4</v>
      </c>
      <c r="K94">
        <v>0</v>
      </c>
      <c r="L94">
        <v>0</v>
      </c>
      <c r="AI94" s="9"/>
      <c r="AJ94" s="9"/>
      <c r="AK94" s="9"/>
    </row>
    <row r="95" spans="1:37" x14ac:dyDescent="0.3">
      <c r="A95" t="s">
        <v>193</v>
      </c>
      <c r="B95">
        <v>2018</v>
      </c>
      <c r="C95">
        <v>1</v>
      </c>
      <c r="D95">
        <v>1</v>
      </c>
      <c r="E95">
        <v>1</v>
      </c>
      <c r="F95">
        <v>0</v>
      </c>
      <c r="G95">
        <v>0</v>
      </c>
      <c r="H95">
        <v>0</v>
      </c>
      <c r="I95">
        <v>1</v>
      </c>
      <c r="J95">
        <f t="shared" si="2"/>
        <v>4</v>
      </c>
      <c r="K95">
        <v>0</v>
      </c>
      <c r="L95">
        <v>0</v>
      </c>
      <c r="AI95" s="9"/>
      <c r="AJ95" s="9"/>
      <c r="AK95" s="9"/>
    </row>
    <row r="96" spans="1:37" x14ac:dyDescent="0.3">
      <c r="A96" t="s">
        <v>193</v>
      </c>
      <c r="B96">
        <v>2017</v>
      </c>
      <c r="C96">
        <v>1</v>
      </c>
      <c r="D96">
        <v>1</v>
      </c>
      <c r="E96">
        <v>1</v>
      </c>
      <c r="F96">
        <v>0</v>
      </c>
      <c r="G96">
        <v>0</v>
      </c>
      <c r="H96">
        <v>0</v>
      </c>
      <c r="I96">
        <v>1</v>
      </c>
      <c r="J96">
        <f t="shared" si="2"/>
        <v>4</v>
      </c>
      <c r="K96">
        <v>0</v>
      </c>
      <c r="L96">
        <v>0</v>
      </c>
      <c r="AI96" s="9"/>
      <c r="AJ96" s="9"/>
      <c r="AK96" s="9"/>
    </row>
    <row r="97" spans="1:37" x14ac:dyDescent="0.3">
      <c r="A97" t="s">
        <v>193</v>
      </c>
      <c r="B97">
        <v>2016</v>
      </c>
      <c r="C97">
        <v>1</v>
      </c>
      <c r="D97">
        <v>1</v>
      </c>
      <c r="E97">
        <v>1</v>
      </c>
      <c r="F97">
        <v>0</v>
      </c>
      <c r="G97">
        <v>0</v>
      </c>
      <c r="H97">
        <v>0</v>
      </c>
      <c r="I97">
        <v>1</v>
      </c>
      <c r="J97">
        <f t="shared" si="2"/>
        <v>4</v>
      </c>
      <c r="K97">
        <v>0</v>
      </c>
      <c r="L97">
        <v>0</v>
      </c>
      <c r="AI97" s="9"/>
      <c r="AJ97" s="9"/>
      <c r="AK97" s="9"/>
    </row>
    <row r="98" spans="1:37" x14ac:dyDescent="0.3">
      <c r="A98" t="s">
        <v>193</v>
      </c>
      <c r="B98">
        <v>2015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  <c r="J98">
        <f t="shared" si="2"/>
        <v>2</v>
      </c>
      <c r="K98">
        <v>0</v>
      </c>
      <c r="L98">
        <v>0</v>
      </c>
      <c r="AI98" s="9"/>
      <c r="AJ98" s="9"/>
      <c r="AK98" s="9"/>
    </row>
    <row r="99" spans="1:37" x14ac:dyDescent="0.3">
      <c r="A99" t="s">
        <v>193</v>
      </c>
      <c r="B99">
        <v>2014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f t="shared" si="2"/>
        <v>1</v>
      </c>
      <c r="K99">
        <v>0</v>
      </c>
      <c r="L99">
        <v>0</v>
      </c>
      <c r="AI99" s="9"/>
      <c r="AJ99" s="9"/>
      <c r="AK99" s="9"/>
    </row>
    <row r="100" spans="1:37" x14ac:dyDescent="0.3">
      <c r="A100" t="s">
        <v>194</v>
      </c>
      <c r="B100">
        <v>2020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f t="shared" si="2"/>
        <v>7</v>
      </c>
      <c r="K100">
        <v>0</v>
      </c>
      <c r="L100">
        <v>0</v>
      </c>
      <c r="AI100" s="9"/>
      <c r="AJ100" s="9"/>
      <c r="AK100" s="9"/>
    </row>
    <row r="101" spans="1:37" x14ac:dyDescent="0.3">
      <c r="A101" t="s">
        <v>194</v>
      </c>
      <c r="B101">
        <v>2019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1</v>
      </c>
      <c r="I101">
        <v>1</v>
      </c>
      <c r="J101">
        <f t="shared" si="2"/>
        <v>6</v>
      </c>
      <c r="K101">
        <v>0</v>
      </c>
      <c r="L101">
        <v>0</v>
      </c>
    </row>
    <row r="102" spans="1:37" x14ac:dyDescent="0.3">
      <c r="A102" t="s">
        <v>194</v>
      </c>
      <c r="B102">
        <v>2018</v>
      </c>
      <c r="C102">
        <v>1</v>
      </c>
      <c r="D102">
        <v>0</v>
      </c>
      <c r="E102">
        <v>1</v>
      </c>
      <c r="F102">
        <v>1</v>
      </c>
      <c r="G102">
        <v>1</v>
      </c>
      <c r="H102">
        <v>1</v>
      </c>
      <c r="I102">
        <v>1</v>
      </c>
      <c r="J102">
        <f t="shared" si="2"/>
        <v>6</v>
      </c>
      <c r="K102">
        <v>0</v>
      </c>
      <c r="L102">
        <v>0</v>
      </c>
    </row>
    <row r="103" spans="1:37" x14ac:dyDescent="0.3">
      <c r="A103" t="s">
        <v>194</v>
      </c>
      <c r="B103">
        <v>2017</v>
      </c>
      <c r="C103">
        <v>1</v>
      </c>
      <c r="D103">
        <v>0</v>
      </c>
      <c r="E103">
        <v>1</v>
      </c>
      <c r="F103">
        <v>0</v>
      </c>
      <c r="G103">
        <v>1</v>
      </c>
      <c r="H103">
        <v>0</v>
      </c>
      <c r="I103">
        <v>1</v>
      </c>
      <c r="J103">
        <f t="shared" si="2"/>
        <v>4</v>
      </c>
      <c r="K103">
        <v>0</v>
      </c>
      <c r="L103">
        <v>0</v>
      </c>
    </row>
    <row r="104" spans="1:37" x14ac:dyDescent="0.3">
      <c r="A104" t="s">
        <v>194</v>
      </c>
      <c r="B104">
        <v>2016</v>
      </c>
      <c r="C104">
        <v>1</v>
      </c>
      <c r="D104">
        <v>0</v>
      </c>
      <c r="E104">
        <v>1</v>
      </c>
      <c r="F104">
        <v>0</v>
      </c>
      <c r="G104">
        <v>1</v>
      </c>
      <c r="H104">
        <v>0</v>
      </c>
      <c r="I104">
        <v>1</v>
      </c>
      <c r="J104">
        <f t="shared" si="2"/>
        <v>4</v>
      </c>
      <c r="K104">
        <v>0</v>
      </c>
      <c r="L104">
        <v>0</v>
      </c>
    </row>
    <row r="105" spans="1:37" x14ac:dyDescent="0.3">
      <c r="A105" t="s">
        <v>194</v>
      </c>
      <c r="B105">
        <v>2015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f t="shared" si="2"/>
        <v>1</v>
      </c>
      <c r="K105">
        <v>0</v>
      </c>
      <c r="L105">
        <v>0</v>
      </c>
    </row>
    <row r="106" spans="1:37" x14ac:dyDescent="0.3">
      <c r="A106" t="s">
        <v>194</v>
      </c>
      <c r="B106">
        <v>2014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f t="shared" si="2"/>
        <v>1</v>
      </c>
      <c r="K106">
        <v>0</v>
      </c>
      <c r="L106">
        <v>0</v>
      </c>
    </row>
    <row r="107" spans="1:37" x14ac:dyDescent="0.3">
      <c r="A107" s="20" t="s">
        <v>195</v>
      </c>
      <c r="B107">
        <v>2020</v>
      </c>
      <c r="J107">
        <f t="shared" si="2"/>
        <v>0</v>
      </c>
    </row>
    <row r="108" spans="1:37" x14ac:dyDescent="0.3">
      <c r="A108" s="20" t="s">
        <v>195</v>
      </c>
      <c r="B108">
        <v>2019</v>
      </c>
      <c r="J108">
        <f t="shared" si="2"/>
        <v>0</v>
      </c>
    </row>
    <row r="109" spans="1:37" x14ac:dyDescent="0.3">
      <c r="A109" s="20" t="s">
        <v>195</v>
      </c>
      <c r="B109">
        <v>2018</v>
      </c>
      <c r="J109">
        <f t="shared" si="2"/>
        <v>0</v>
      </c>
    </row>
    <row r="110" spans="1:37" x14ac:dyDescent="0.3">
      <c r="A110" s="20" t="s">
        <v>195</v>
      </c>
      <c r="B110">
        <v>2017</v>
      </c>
      <c r="J110">
        <f t="shared" si="2"/>
        <v>0</v>
      </c>
    </row>
    <row r="111" spans="1:37" x14ac:dyDescent="0.3">
      <c r="A111" s="20" t="s">
        <v>195</v>
      </c>
      <c r="B111">
        <v>2016</v>
      </c>
      <c r="J111">
        <f t="shared" si="2"/>
        <v>0</v>
      </c>
    </row>
    <row r="112" spans="1:37" x14ac:dyDescent="0.3">
      <c r="A112" s="20" t="s">
        <v>195</v>
      </c>
      <c r="B112">
        <v>2015</v>
      </c>
      <c r="J112">
        <f t="shared" si="2"/>
        <v>0</v>
      </c>
    </row>
    <row r="113" spans="1:10" x14ac:dyDescent="0.3">
      <c r="A113" s="20" t="s">
        <v>195</v>
      </c>
      <c r="B113">
        <v>2014</v>
      </c>
      <c r="J113">
        <f t="shared" si="2"/>
        <v>0</v>
      </c>
    </row>
    <row r="114" spans="1:10" x14ac:dyDescent="0.3">
      <c r="A114" s="20" t="s">
        <v>196</v>
      </c>
      <c r="B114">
        <v>2020</v>
      </c>
      <c r="J114">
        <f t="shared" si="2"/>
        <v>0</v>
      </c>
    </row>
    <row r="115" spans="1:10" x14ac:dyDescent="0.3">
      <c r="A115" s="20" t="s">
        <v>196</v>
      </c>
      <c r="B115">
        <v>2019</v>
      </c>
      <c r="J115">
        <f t="shared" si="2"/>
        <v>0</v>
      </c>
    </row>
    <row r="116" spans="1:10" x14ac:dyDescent="0.3">
      <c r="A116" s="20" t="s">
        <v>196</v>
      </c>
      <c r="B116">
        <v>2018</v>
      </c>
      <c r="J116">
        <f t="shared" si="2"/>
        <v>0</v>
      </c>
    </row>
    <row r="117" spans="1:10" x14ac:dyDescent="0.3">
      <c r="A117" s="20" t="s">
        <v>196</v>
      </c>
      <c r="B117">
        <v>2017</v>
      </c>
      <c r="J117">
        <f t="shared" si="2"/>
        <v>0</v>
      </c>
    </row>
    <row r="118" spans="1:10" x14ac:dyDescent="0.3">
      <c r="A118" s="20" t="s">
        <v>196</v>
      </c>
      <c r="B118">
        <v>2016</v>
      </c>
      <c r="J118">
        <f t="shared" si="2"/>
        <v>0</v>
      </c>
    </row>
    <row r="119" spans="1:10" x14ac:dyDescent="0.3">
      <c r="A119" s="20" t="s">
        <v>196</v>
      </c>
      <c r="B119">
        <v>2015</v>
      </c>
      <c r="J119">
        <f t="shared" si="2"/>
        <v>0</v>
      </c>
    </row>
    <row r="120" spans="1:10" x14ac:dyDescent="0.3">
      <c r="A120" s="20" t="s">
        <v>196</v>
      </c>
      <c r="B120">
        <v>2014</v>
      </c>
      <c r="J120">
        <f t="shared" si="2"/>
        <v>0</v>
      </c>
    </row>
    <row r="121" spans="1:10" x14ac:dyDescent="0.3">
      <c r="A121" s="20" t="s">
        <v>197</v>
      </c>
      <c r="B121">
        <v>2020</v>
      </c>
      <c r="J121">
        <f t="shared" si="2"/>
        <v>0</v>
      </c>
    </row>
    <row r="122" spans="1:10" x14ac:dyDescent="0.3">
      <c r="A122" s="20" t="s">
        <v>197</v>
      </c>
      <c r="B122">
        <v>2019</v>
      </c>
      <c r="J122">
        <f t="shared" si="2"/>
        <v>0</v>
      </c>
    </row>
    <row r="123" spans="1:10" x14ac:dyDescent="0.3">
      <c r="A123" s="20" t="s">
        <v>197</v>
      </c>
      <c r="B123">
        <v>2018</v>
      </c>
      <c r="J123">
        <f t="shared" si="2"/>
        <v>0</v>
      </c>
    </row>
    <row r="124" spans="1:10" x14ac:dyDescent="0.3">
      <c r="A124" s="20" t="s">
        <v>197</v>
      </c>
      <c r="B124">
        <v>2017</v>
      </c>
      <c r="J124">
        <f t="shared" si="2"/>
        <v>0</v>
      </c>
    </row>
    <row r="125" spans="1:10" x14ac:dyDescent="0.3">
      <c r="A125" s="20" t="s">
        <v>197</v>
      </c>
      <c r="B125">
        <v>2016</v>
      </c>
      <c r="J125">
        <f t="shared" si="2"/>
        <v>0</v>
      </c>
    </row>
    <row r="126" spans="1:10" x14ac:dyDescent="0.3">
      <c r="A126" s="20" t="s">
        <v>197</v>
      </c>
      <c r="B126">
        <v>2015</v>
      </c>
      <c r="J126">
        <f t="shared" si="2"/>
        <v>0</v>
      </c>
    </row>
    <row r="127" spans="1:10" x14ac:dyDescent="0.3">
      <c r="A127" s="20" t="s">
        <v>197</v>
      </c>
      <c r="B127">
        <v>2014</v>
      </c>
      <c r="J127">
        <f t="shared" si="2"/>
        <v>0</v>
      </c>
    </row>
    <row r="128" spans="1:10" x14ac:dyDescent="0.3">
      <c r="A128" s="27" t="s">
        <v>198</v>
      </c>
      <c r="B128">
        <v>2020</v>
      </c>
      <c r="J128">
        <f t="shared" si="2"/>
        <v>0</v>
      </c>
    </row>
    <row r="129" spans="1:10" x14ac:dyDescent="0.3">
      <c r="A129" s="27" t="s">
        <v>198</v>
      </c>
      <c r="B129">
        <v>2019</v>
      </c>
      <c r="J129">
        <f t="shared" si="2"/>
        <v>0</v>
      </c>
    </row>
    <row r="130" spans="1:10" x14ac:dyDescent="0.3">
      <c r="A130" s="27" t="s">
        <v>198</v>
      </c>
      <c r="B130">
        <v>2018</v>
      </c>
      <c r="J130">
        <f t="shared" ref="J130:J139" si="3">SUM($C130:$I130)</f>
        <v>0</v>
      </c>
    </row>
    <row r="131" spans="1:10" x14ac:dyDescent="0.3">
      <c r="A131" s="27" t="s">
        <v>198</v>
      </c>
      <c r="B131">
        <v>2017</v>
      </c>
      <c r="J131">
        <f t="shared" si="3"/>
        <v>0</v>
      </c>
    </row>
    <row r="132" spans="1:10" x14ac:dyDescent="0.3">
      <c r="A132" s="27" t="s">
        <v>198</v>
      </c>
      <c r="B132">
        <v>2016</v>
      </c>
      <c r="J132">
        <f t="shared" si="3"/>
        <v>0</v>
      </c>
    </row>
    <row r="133" spans="1:10" x14ac:dyDescent="0.3">
      <c r="A133" s="27" t="s">
        <v>198</v>
      </c>
      <c r="B133">
        <v>2015</v>
      </c>
      <c r="J133">
        <f t="shared" si="3"/>
        <v>0</v>
      </c>
    </row>
    <row r="134" spans="1:10" x14ac:dyDescent="0.3">
      <c r="A134" s="27" t="s">
        <v>198</v>
      </c>
      <c r="B134">
        <v>2014</v>
      </c>
      <c r="J134">
        <f t="shared" si="3"/>
        <v>0</v>
      </c>
    </row>
    <row r="135" spans="1:10" x14ac:dyDescent="0.3">
      <c r="A135" s="20" t="s">
        <v>199</v>
      </c>
      <c r="B135">
        <v>2020</v>
      </c>
      <c r="J135">
        <f t="shared" si="3"/>
        <v>0</v>
      </c>
    </row>
    <row r="136" spans="1:10" x14ac:dyDescent="0.3">
      <c r="A136" s="20" t="s">
        <v>199</v>
      </c>
      <c r="B136">
        <v>2019</v>
      </c>
      <c r="J136">
        <f t="shared" si="3"/>
        <v>0</v>
      </c>
    </row>
    <row r="137" spans="1:10" x14ac:dyDescent="0.3">
      <c r="A137" s="20" t="s">
        <v>199</v>
      </c>
      <c r="B137">
        <v>2018</v>
      </c>
      <c r="J137">
        <f t="shared" si="3"/>
        <v>0</v>
      </c>
    </row>
    <row r="138" spans="1:10" x14ac:dyDescent="0.3">
      <c r="A138" s="20" t="s">
        <v>199</v>
      </c>
      <c r="B138">
        <v>2017</v>
      </c>
      <c r="J138">
        <f t="shared" si="3"/>
        <v>0</v>
      </c>
    </row>
    <row r="139" spans="1:10" x14ac:dyDescent="0.3">
      <c r="A139" s="20" t="s">
        <v>199</v>
      </c>
      <c r="B139">
        <v>2016</v>
      </c>
      <c r="J139">
        <f t="shared" si="3"/>
        <v>0</v>
      </c>
    </row>
    <row r="140" spans="1:10" x14ac:dyDescent="0.3">
      <c r="A140" s="20" t="s">
        <v>199</v>
      </c>
      <c r="B140">
        <v>2015</v>
      </c>
      <c r="J140">
        <f t="shared" ref="J140" si="4">SUM($C140:$I140)</f>
        <v>0</v>
      </c>
    </row>
    <row r="141" spans="1:10" x14ac:dyDescent="0.3">
      <c r="A141" s="20" t="s">
        <v>199</v>
      </c>
      <c r="B141">
        <v>2014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Search summary</vt:lpstr>
      <vt:lpstr>Results</vt:lpstr>
      <vt:lpstr>Panel Data - FS</vt:lpstr>
      <vt:lpstr>Fintech Services - Fintech Firm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Omar Ibrahim Vargas</cp:lastModifiedBy>
  <dcterms:modified xsi:type="dcterms:W3CDTF">2025-04-12T16:20:35Z</dcterms:modified>
</cp:coreProperties>
</file>